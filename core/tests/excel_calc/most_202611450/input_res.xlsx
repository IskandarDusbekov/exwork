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samples\"/>
    </mc:Choice>
  </mc:AlternateContent>
  <xr:revisionPtr revIDLastSave="0" documentId="8_{0E9435A4-0DE3-473E-B370-3737A444F613}" xr6:coauthVersionLast="47" xr6:coauthVersionMax="47" xr10:uidLastSave="{00000000-0000-0000-0000-000000000000}"/>
  <bookViews>
    <workbookView xWindow="780" yWindow="780" windowWidth="38700" windowHeight="15435" xr2:uid="{2160D5ED-CD56-44E8-8F5D-D22392557475}"/>
  </bookViews>
  <sheets>
    <sheet name="202611450_БР" sheetId="1" r:id="rId1"/>
  </sheets>
  <definedNames>
    <definedName name="_xlnm.Print_Titles" localSheetId="0">'202611450_БР'!$19:$19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1" l="1"/>
  <c r="H53" i="1"/>
  <c r="H52" i="1"/>
  <c r="H51" i="1"/>
  <c r="H50" i="1"/>
  <c r="H49" i="1"/>
  <c r="H48" i="1"/>
  <c r="H47" i="1"/>
  <c r="H46" i="1"/>
  <c r="H45" i="1"/>
  <c r="H44" i="1"/>
  <c r="H43" i="1"/>
  <c r="H42" i="1"/>
  <c r="H55" i="1" s="1"/>
  <c r="L55" i="1" s="1"/>
  <c r="L56" i="1" s="1"/>
  <c r="L57" i="1" s="1"/>
  <c r="H41" i="1"/>
  <c r="H36" i="1"/>
  <c r="H35" i="1"/>
  <c r="H34" i="1"/>
  <c r="H33" i="1"/>
  <c r="H32" i="1"/>
  <c r="H31" i="1"/>
  <c r="H30" i="1"/>
  <c r="H29" i="1"/>
  <c r="H28" i="1"/>
  <c r="H37" i="1" s="1"/>
  <c r="H23" i="1"/>
  <c r="H25" i="1" s="1"/>
  <c r="H57" i="1" l="1"/>
  <c r="H59" i="1" s="1"/>
  <c r="H61" i="1" s="1"/>
</calcChain>
</file>

<file path=xl/sharedStrings.xml><?xml version="1.0" encoding="utf-8"?>
<sst xmlns="http://schemas.openxmlformats.org/spreadsheetml/2006/main" count="221" uniqueCount="124">
  <si>
    <t>Форма N 6a</t>
  </si>
  <si>
    <t>IL "URGUT TUMANIDAGI YANGI-DARGOM KANALINING PK52+00 DAN PK102+00 GACHA BOLGAN QISMINI REKONSTRUKSIYA QILISH"</t>
  </si>
  <si>
    <t>(наименование стройки)</t>
  </si>
  <si>
    <t>ЛОКАЛЬНЫЙ РЕСУРСНЫЙ СМЕТНЫЙ РАСЧЕТ</t>
  </si>
  <si>
    <t xml:space="preserve">   № </t>
  </si>
  <si>
    <t>1-6</t>
  </si>
  <si>
    <t>(локальная ресурсная смета)</t>
  </si>
  <si>
    <t xml:space="preserve">                   </t>
  </si>
  <si>
    <t xml:space="preserve">на </t>
  </si>
  <si>
    <t>, МОСТ НА ПК 75+34</t>
  </si>
  <si>
    <t>(наименование работ и затрат, наименование объекта)</t>
  </si>
  <si>
    <t>Основание:</t>
  </si>
  <si>
    <t xml:space="preserve">В базисных ценах </t>
  </si>
  <si>
    <t xml:space="preserve">В текущих ценах </t>
  </si>
  <si>
    <t>Сметная стоимость</t>
  </si>
  <si>
    <t>18990,438</t>
  </si>
  <si>
    <t>ТЫС.СУМ.</t>
  </si>
  <si>
    <t>--</t>
  </si>
  <si>
    <t>Составлен В ТЕКУЩИХ ЦЕНАХ</t>
  </si>
  <si>
    <t>СУМ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</si>
  <si>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</si>
  <si>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</si>
  <si>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</si>
  <si>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</si>
  <si>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</si>
  <si>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в базисном уровне</t>
  </si>
  <si>
    <t>в текущем (прогнозном)</t>
  </si>
  <si>
    <t>на.ед.изм.</t>
  </si>
  <si>
    <t>общая</t>
  </si>
  <si>
    <t>ИТОГО ПО ЛОКАЛЬНОМУ РЕСУРСНОМУ РАСЧЕТУ, СОСТАВЛЕННОМУ НА ОСНОВЕ ЛОКАЛЬНОЙ РЕСУРСНОЙ ВЕДОМОСТИ N 1-6</t>
  </si>
  <si>
    <t>ТРУДОВЫЕ РЕСУРСЫ</t>
  </si>
  <si>
    <t>1</t>
  </si>
  <si>
    <t>ЗАТРАТЫ ТРУДА РАБОЧИХ-СТРОИТЕЛЕЙ</t>
  </si>
  <si>
    <t>ЧЕЛ.-Ч</t>
  </si>
  <si>
    <t>2</t>
  </si>
  <si>
    <t>3</t>
  </si>
  <si>
    <t>ЗАТРАТЫ ТРУДА МАШИНИСТОВ</t>
  </si>
  <si>
    <t>ИТОГО ПО ТРУДОВЫМ РЕСУРСАМ:</t>
  </si>
  <si>
    <t>СТРОИТЕЛЬНЫЕ МАШИНЫ И МЕХАНИЗМЫ</t>
  </si>
  <si>
    <t>660</t>
  </si>
  <si>
    <t>КОМПРЕССОРЫ ПЕРЕДВИЖНЫЕ С ДВИГАТЕЛЕМ ВНУТРЕННЕГО СГОРАНИЯ ДАВЛЕНИЕМ ДО 686 КПА (7 АТМ.) 5 М3/МИН</t>
  </si>
  <si>
    <t>МАШ.-Ч</t>
  </si>
  <si>
    <t>4</t>
  </si>
  <si>
    <t>762</t>
  </si>
  <si>
    <t>КРАНЫ НА АВТОМОБИЛЬНОМ ХОДУ ПРИ РАБОТЕ НА ДРУГИХ ВИДАХ СТРОИТЕЛЬСТВА 10 Т</t>
  </si>
  <si>
    <t>5</t>
  </si>
  <si>
    <t>783</t>
  </si>
  <si>
    <t>КРАНЫ НА ГУСЕНИЧНОМ ХОДУ ПРИ РАБОТЕ НА ДРУГИХ ВИДАХ СТРОИТЕЛЬСТВА ДО 16 Т</t>
  </si>
  <si>
    <t>6</t>
  </si>
  <si>
    <t>969</t>
  </si>
  <si>
    <t>ЛЕБЕДКИ РУЧНЫЕ И РЫЧАЖНЫЕ, ТЯГОВЫМ УСИЛИЕМ 31,39 (3,2) КН (Т)</t>
  </si>
  <si>
    <t>7</t>
  </si>
  <si>
    <t>1147</t>
  </si>
  <si>
    <t>МАШИНЫ ШЛИФОВАЛЬНЫЕ ЭЛЕКТРИЧЕСКИЕ</t>
  </si>
  <si>
    <t>8</t>
  </si>
  <si>
    <t>1199</t>
  </si>
  <si>
    <t>МОЛОТКИ ПРИ РАБОТЕ ОТ ПЕРЕДВИЖНЫХ КОМПРЕССОРНЫХ СТАНЦИЙ ОТБОЙНЫЕ ПНЕВМАТИЧЕСКИЕ</t>
  </si>
  <si>
    <t>9</t>
  </si>
  <si>
    <t>1760</t>
  </si>
  <si>
    <t>ВИБРАТОРЫ ГЛУБИННЫЕ ПНЕВМАТИЧЕСКИЕ</t>
  </si>
  <si>
    <t>10</t>
  </si>
  <si>
    <t>2016</t>
  </si>
  <si>
    <t>УСТАНОВКИ ДЛЯ СВАРКИ РУЧНОЙ ДУГОВОЙ (ПОСТОЯННОГО ТОКА)</t>
  </si>
  <si>
    <t>11</t>
  </si>
  <si>
    <t>2509</t>
  </si>
  <si>
    <t>АВТОМОБИЛИ БОРТОВЫЕ ГРУЗОПОДЪЕМНОСТЬЮ ДО 5 Т</t>
  </si>
  <si>
    <t>ИТОГО ПО СТРОИТЕЛЬНЫМ МАШИНАМ:</t>
  </si>
  <si>
    <t>В Т.Ч. ЗАРАБОТНАЯ ПЛАТА МАШИНИСТОВ:</t>
  </si>
  <si>
    <t>МАТЕРИАЛЬНЫЕ РЕСУРСЫ</t>
  </si>
  <si>
    <t>12</t>
  </si>
  <si>
    <t>6322</t>
  </si>
  <si>
    <t>БЕТОН ТЯЖЕЛЫЙ КЛАССА В15 /М-200/ ФРАКЦИИ 5-20 ММ</t>
  </si>
  <si>
    <t>М3</t>
  </si>
  <si>
    <t>13</t>
  </si>
  <si>
    <t>22453</t>
  </si>
  <si>
    <t>РАСТВОР ГОТОВЫЙ КЛАДОЧНЫЙ ЦЕМЕНТНЫЙ, МАРКА: 100</t>
  </si>
  <si>
    <t>14</t>
  </si>
  <si>
    <t>23469</t>
  </si>
  <si>
    <t>ВОДА</t>
  </si>
  <si>
    <t>15</t>
  </si>
  <si>
    <t>30407</t>
  </si>
  <si>
    <t>ГВОЗДИ СТРОИТЕЛЬНЫЕ</t>
  </si>
  <si>
    <t>Т</t>
  </si>
  <si>
    <t>16</t>
  </si>
  <si>
    <t>30956</t>
  </si>
  <si>
    <t>КРАСКИ МАСЛЯНЫЕ ЗЕМЛЯНЫЕ МА-0115 МУМИЯ, СУРИК ЖЕЛЕЗНЫЙ</t>
  </si>
  <si>
    <t>17</t>
  </si>
  <si>
    <t>31650</t>
  </si>
  <si>
    <t>ОЛИФА КОМБИНИРОВАННАЯ К-2</t>
  </si>
  <si>
    <t>18</t>
  </si>
  <si>
    <t>32202</t>
  </si>
  <si>
    <t>МАСЛО ДИЗЕЛЬНОЕ МОТОРНОЕ М-10ДМ</t>
  </si>
  <si>
    <t>19</t>
  </si>
  <si>
    <t>35310</t>
  </si>
  <si>
    <t>ЭЛЕКТРОДЫ ДИАМЕТРОМ 4 ММ Э42</t>
  </si>
  <si>
    <t>20</t>
  </si>
  <si>
    <t>36058</t>
  </si>
  <si>
    <t>ПИЛОМАТЕРИАЛЫ ХВОЙНЫХ ПОРОД ДОСКИ ОБРЕЗНЫЕ ДЛИНОЙ 4-6,5 М, ШИРИНОЙ 75-150 ММ, ТОЛЩИНОЙ 32-40 ММ IV СОРТА</t>
  </si>
  <si>
    <t>21</t>
  </si>
  <si>
    <t>36061</t>
  </si>
  <si>
    <t>ДОСКИ ОБРЕЗНЫЕ ХВОЙНЫХ ПОРОД ДЛИНОЙ 4-6,5 М, ШИРИНОЙ 75-150 ММ, ТОЛЩИНОЙ 44 ММ И БОЛЕЕ, III СОРТА</t>
  </si>
  <si>
    <t>22</t>
  </si>
  <si>
    <t>44629</t>
  </si>
  <si>
    <t>ТКАНЬ МЕШОЧНАЯ</t>
  </si>
  <si>
    <t>10М2</t>
  </si>
  <si>
    <t>23</t>
  </si>
  <si>
    <t>44897</t>
  </si>
  <si>
    <t>ШЛИФКРУГИ</t>
  </si>
  <si>
    <t>ШТ</t>
  </si>
  <si>
    <t>24</t>
  </si>
  <si>
    <t>50785</t>
  </si>
  <si>
    <t>КОНСТРУКЦИИ СТАЛЬНЫЕ: ПЕРИЛ</t>
  </si>
  <si>
    <t>25</t>
  </si>
  <si>
    <t>51619</t>
  </si>
  <si>
    <t>ЩИТЫ ИЗ ДОСОК ТОЛЩИНОЙ 25 ММ</t>
  </si>
  <si>
    <t>М2</t>
  </si>
  <si>
    <t>ИТОГО ПО СТРОИТЕЛЬНЫМ МАТЕРИАЛАМ:</t>
  </si>
  <si>
    <t>ИТОГО ПРЯМЫЕ ЗАТРАТЫ</t>
  </si>
  <si>
    <t>НАКЛАДНЫЕ РАСХОДЫ -</t>
  </si>
  <si>
    <t>ИТОГО С НАКЛАДНЫМИ РАСХОДАМИ:</t>
  </si>
  <si>
    <t>СМЕТНАЯ ПРИБЫЛЬ:</t>
  </si>
  <si>
    <t>ИТОГО ПО РЕСУРСНОМУ РАСЧЕТУ:</t>
  </si>
  <si>
    <t>СОСТАВИЛ</t>
  </si>
  <si>
    <t>ИСПОЛНИТЕЛЬ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</si>
</sst>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#,##0.0######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b/>
      <sz val="11"/>
      <name val="Times New Roman Cyr"/>
      <charset val="204"/>
    </font>
    <font>
      <sz val="12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9"/>
      <name val="Times New Roman Cyr"/>
      <family val="1"/>
      <charset val="204"/>
    </font>
    <font>
      <sz val="10"/>
      <color rgb="FFFF0000"/>
      <name val="Times New Roman Cyr"/>
      <family val="1"/>
      <charset val="204"/>
    </font>
    <font>
      <b/>
      <sz val="9"/>
      <name val="Times New Roman Cyr"/>
      <charset val="204"/>
    </font>
    <font>
      <b/>
      <sz val="10"/>
      <name val="Times New Roman Cyr"/>
      <charset val="204"/>
    </font>
    <font>
      <sz val="10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2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C0C0C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92">
    <xf numFmtId="0" fontId="0" fillId="0" borderId="0" xfId="0"/>
    <xf numFmtId="0" fontId="2" fillId="0" borderId="0" xfId="2" applyAlignment="1">
      <alignment vertical="top"/>
    </xf>
    <xf numFmtId="0" fontId="2" fillId="0" borderId="0" xfId="2" applyAlignment="1">
      <alignment horizontal="right" vertical="top"/>
    </xf>
    <xf numFmtId="164" fontId="2" fillId="0" borderId="0" xfId="1" applyFont="1" applyAlignment="1">
      <alignment vertical="top"/>
    </xf>
    <xf numFmtId="0" fontId="2" fillId="0" borderId="1" xfId="2" applyBorder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4" fillId="0" borderId="2" xfId="2" applyFont="1" applyBorder="1" applyAlignment="1">
      <alignment horizontal="center" vertical="top" wrapText="1"/>
    </xf>
    <xf numFmtId="0" fontId="2" fillId="0" borderId="0" xfId="2" applyAlignment="1">
      <alignment horizontal="left" vertical="top"/>
    </xf>
    <xf numFmtId="0" fontId="2" fillId="0" borderId="0" xfId="2" applyAlignment="1">
      <alignment horizontal="center" vertical="top"/>
    </xf>
    <xf numFmtId="0" fontId="5" fillId="0" borderId="0" xfId="2" applyFont="1" applyAlignment="1">
      <alignment horizontal="right" vertical="top"/>
    </xf>
    <xf numFmtId="0" fontId="6" fillId="0" borderId="0" xfId="2" applyFont="1" applyAlignment="1">
      <alignment horizontal="left" vertical="top" wrapText="1"/>
    </xf>
    <xf numFmtId="0" fontId="7" fillId="0" borderId="0" xfId="2" applyFont="1" applyAlignment="1">
      <alignment vertical="top" wrapText="1"/>
    </xf>
    <xf numFmtId="0" fontId="4" fillId="0" borderId="0" xfId="2" applyFont="1" applyAlignment="1">
      <alignment horizontal="center" vertical="top" wrapText="1"/>
    </xf>
    <xf numFmtId="0" fontId="3" fillId="0" borderId="0" xfId="2" applyFont="1" applyAlignment="1">
      <alignment horizontal="right" vertical="top"/>
    </xf>
    <xf numFmtId="0" fontId="2" fillId="0" borderId="0" xfId="2" applyAlignment="1">
      <alignment horizontal="left" vertical="top" wrapText="1"/>
    </xf>
    <xf numFmtId="0" fontId="3" fillId="0" borderId="0" xfId="2" applyFont="1" applyAlignment="1">
      <alignment horizontal="right" vertical="top"/>
    </xf>
    <xf numFmtId="0" fontId="3" fillId="0" borderId="0" xfId="2" applyFont="1" applyAlignment="1">
      <alignment vertical="top"/>
    </xf>
    <xf numFmtId="0" fontId="2" fillId="0" borderId="0" xfId="2" applyAlignment="1">
      <alignment horizontal="left"/>
    </xf>
    <xf numFmtId="0" fontId="8" fillId="0" borderId="0" xfId="2" applyFont="1" applyAlignment="1">
      <alignment horizontal="center" vertical="top" wrapText="1"/>
    </xf>
    <xf numFmtId="0" fontId="8" fillId="0" borderId="0" xfId="2" applyFont="1" applyAlignment="1">
      <alignment horizontal="left" vertical="top" wrapText="1"/>
    </xf>
    <xf numFmtId="164" fontId="2" fillId="0" borderId="0" xfId="1" applyFont="1"/>
    <xf numFmtId="0" fontId="2" fillId="0" borderId="0" xfId="2"/>
    <xf numFmtId="0" fontId="2" fillId="0" borderId="3" xfId="2" applyBorder="1" applyAlignment="1">
      <alignment horizontal="left" vertical="top"/>
    </xf>
    <xf numFmtId="0" fontId="2" fillId="0" borderId="3" xfId="2" applyBorder="1" applyAlignment="1">
      <alignment vertical="top"/>
    </xf>
    <xf numFmtId="0" fontId="2" fillId="0" borderId="3" xfId="2" applyBorder="1" applyAlignment="1">
      <alignment horizontal="left" vertical="top"/>
    </xf>
    <xf numFmtId="0" fontId="2" fillId="0" borderId="3" xfId="2" applyBorder="1" applyAlignment="1">
      <alignment horizontal="right" vertical="top"/>
    </xf>
    <xf numFmtId="0" fontId="2" fillId="0" borderId="4" xfId="2" applyBorder="1" applyAlignment="1">
      <alignment horizontal="left" vertical="top" wrapText="1"/>
    </xf>
    <xf numFmtId="0" fontId="2" fillId="0" borderId="4" xfId="2" applyBorder="1" applyAlignment="1">
      <alignment horizontal="right" vertical="top"/>
    </xf>
    <xf numFmtId="0" fontId="3" fillId="2" borderId="5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3" fillId="2" borderId="9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 wrapText="1"/>
    </xf>
    <xf numFmtId="0" fontId="9" fillId="2" borderId="10" xfId="2" applyFont="1" applyFill="1" applyBorder="1" applyAlignment="1">
      <alignment horizontal="center" vertical="center" wrapText="1"/>
    </xf>
    <xf numFmtId="0" fontId="9" fillId="2" borderId="12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2" fillId="0" borderId="0" xfId="2" applyAlignment="1">
      <alignment horizontal="center"/>
    </xf>
    <xf numFmtId="164" fontId="2" fillId="0" borderId="0" xfId="1" applyFont="1" applyAlignment="1">
      <alignment horizontal="center"/>
    </xf>
    <xf numFmtId="0" fontId="2" fillId="0" borderId="13" xfId="2" applyBorder="1" applyAlignment="1">
      <alignment horizontal="center"/>
    </xf>
    <xf numFmtId="0" fontId="2" fillId="0" borderId="14" xfId="2" applyBorder="1" applyAlignment="1">
      <alignment horizontal="center"/>
    </xf>
    <xf numFmtId="0" fontId="2" fillId="0" borderId="15" xfId="2" applyBorder="1" applyAlignment="1">
      <alignment horizontal="center"/>
    </xf>
    <xf numFmtId="0" fontId="9" fillId="2" borderId="16" xfId="2" applyFont="1" applyFill="1" applyBorder="1" applyAlignment="1">
      <alignment horizontal="left" vertical="top" wrapText="1"/>
    </xf>
    <xf numFmtId="0" fontId="9" fillId="2" borderId="17" xfId="2" applyFont="1" applyFill="1" applyBorder="1" applyAlignment="1">
      <alignment horizontal="left" vertical="top" wrapText="1"/>
    </xf>
    <xf numFmtId="0" fontId="9" fillId="2" borderId="18" xfId="2" applyFont="1" applyFill="1" applyBorder="1" applyAlignment="1">
      <alignment horizontal="left" vertical="top" wrapText="1"/>
    </xf>
    <xf numFmtId="2" fontId="2" fillId="0" borderId="0" xfId="2" applyNumberFormat="1" applyAlignment="1">
      <alignment horizontal="right" vertical="top"/>
    </xf>
    <xf numFmtId="0" fontId="3" fillId="0" borderId="19" xfId="2" applyFont="1" applyBorder="1" applyAlignment="1">
      <alignment horizontal="center" vertical="top" wrapText="1"/>
    </xf>
    <xf numFmtId="0" fontId="3" fillId="0" borderId="20" xfId="2" applyFont="1" applyBorder="1" applyAlignment="1">
      <alignment horizontal="left" vertical="top" wrapText="1"/>
    </xf>
    <xf numFmtId="0" fontId="9" fillId="0" borderId="20" xfId="2" applyFont="1" applyBorder="1" applyAlignment="1">
      <alignment horizontal="left" vertical="top" wrapText="1" indent="1"/>
    </xf>
    <xf numFmtId="0" fontId="3" fillId="0" borderId="20" xfId="2" applyFont="1" applyBorder="1" applyAlignment="1">
      <alignment horizontal="center" vertical="top" wrapText="1"/>
    </xf>
    <xf numFmtId="0" fontId="8" fillId="0" borderId="20" xfId="2" applyFont="1" applyBorder="1" applyAlignment="1">
      <alignment horizontal="right" vertical="top" wrapText="1"/>
    </xf>
    <xf numFmtId="2" fontId="8" fillId="0" borderId="20" xfId="2" applyNumberFormat="1" applyFont="1" applyBorder="1" applyAlignment="1">
      <alignment horizontal="right" vertical="top" wrapText="1"/>
    </xf>
    <xf numFmtId="0" fontId="8" fillId="0" borderId="21" xfId="2" applyFont="1" applyBorder="1" applyAlignment="1">
      <alignment horizontal="right" vertical="top" wrapText="1"/>
    </xf>
    <xf numFmtId="0" fontId="3" fillId="0" borderId="22" xfId="2" applyFont="1" applyBorder="1" applyAlignment="1">
      <alignment horizontal="center" vertical="top" wrapText="1"/>
    </xf>
    <xf numFmtId="0" fontId="3" fillId="0" borderId="21" xfId="2" applyFont="1" applyBorder="1" applyAlignment="1">
      <alignment horizontal="left" vertical="top" wrapText="1"/>
    </xf>
    <xf numFmtId="0" fontId="3" fillId="0" borderId="21" xfId="2" applyFont="1" applyBorder="1" applyAlignment="1">
      <alignment horizontal="center" vertical="top" wrapText="1"/>
    </xf>
    <xf numFmtId="165" fontId="8" fillId="0" borderId="21" xfId="2" applyNumberFormat="1" applyFont="1" applyBorder="1" applyAlignment="1">
      <alignment horizontal="right" vertical="top" wrapText="1"/>
    </xf>
    <xf numFmtId="165" fontId="10" fillId="0" borderId="21" xfId="2" applyNumberFormat="1" applyFont="1" applyBorder="1" applyAlignment="1">
      <alignment horizontal="right" vertical="top" wrapText="1"/>
    </xf>
    <xf numFmtId="3" fontId="8" fillId="0" borderId="21" xfId="2" applyNumberFormat="1" applyFont="1" applyBorder="1" applyAlignment="1">
      <alignment horizontal="right" vertical="top" wrapText="1"/>
    </xf>
    <xf numFmtId="0" fontId="2" fillId="0" borderId="21" xfId="2" applyBorder="1" applyAlignment="1">
      <alignment horizontal="right" vertical="top" wrapText="1"/>
    </xf>
    <xf numFmtId="2" fontId="8" fillId="0" borderId="21" xfId="2" applyNumberFormat="1" applyFont="1" applyBorder="1" applyAlignment="1">
      <alignment horizontal="right" vertical="top" wrapText="1"/>
    </xf>
    <xf numFmtId="0" fontId="11" fillId="2" borderId="19" xfId="2" applyFont="1" applyFill="1" applyBorder="1" applyAlignment="1">
      <alignment horizontal="center" vertical="top" wrapText="1"/>
    </xf>
    <xf numFmtId="0" fontId="11" fillId="2" borderId="20" xfId="2" applyFont="1" applyFill="1" applyBorder="1" applyAlignment="1">
      <alignment horizontal="left" vertical="top" wrapText="1"/>
    </xf>
    <xf numFmtId="0" fontId="11" fillId="2" borderId="21" xfId="2" applyFont="1" applyFill="1" applyBorder="1" applyAlignment="1">
      <alignment horizontal="left" vertical="top" wrapText="1"/>
    </xf>
    <xf numFmtId="0" fontId="11" fillId="2" borderId="21" xfId="2" applyFont="1" applyFill="1" applyBorder="1" applyAlignment="1">
      <alignment horizontal="center" vertical="top" wrapText="1"/>
    </xf>
    <xf numFmtId="0" fontId="12" fillId="2" borderId="21" xfId="2" applyFont="1" applyFill="1" applyBorder="1" applyAlignment="1">
      <alignment horizontal="right" vertical="top" wrapText="1"/>
    </xf>
    <xf numFmtId="1" fontId="12" fillId="2" borderId="21" xfId="2" applyNumberFormat="1" applyFont="1" applyFill="1" applyBorder="1" applyAlignment="1">
      <alignment horizontal="right" vertical="top" wrapText="1"/>
    </xf>
    <xf numFmtId="0" fontId="2" fillId="0" borderId="19" xfId="2" applyBorder="1" applyAlignment="1">
      <alignment horizontal="left" vertical="top" wrapText="1"/>
    </xf>
    <xf numFmtId="0" fontId="2" fillId="0" borderId="20" xfId="2" applyBorder="1" applyAlignment="1">
      <alignment horizontal="left" vertical="top" wrapText="1"/>
    </xf>
    <xf numFmtId="0" fontId="2" fillId="0" borderId="21" xfId="2" applyBorder="1" applyAlignment="1">
      <alignment horizontal="left" vertical="top" wrapText="1"/>
    </xf>
    <xf numFmtId="3" fontId="2" fillId="0" borderId="21" xfId="2" applyNumberFormat="1" applyBorder="1" applyAlignment="1">
      <alignment horizontal="right" vertical="top" wrapText="1"/>
    </xf>
    <xf numFmtId="3" fontId="13" fillId="0" borderId="21" xfId="2" applyNumberFormat="1" applyFont="1" applyBorder="1" applyAlignment="1">
      <alignment horizontal="right" vertical="top" wrapText="1"/>
    </xf>
    <xf numFmtId="0" fontId="10" fillId="0" borderId="0" xfId="2" applyFont="1" applyAlignment="1">
      <alignment vertical="top"/>
    </xf>
    <xf numFmtId="3" fontId="10" fillId="0" borderId="21" xfId="2" applyNumberFormat="1" applyFont="1" applyBorder="1" applyAlignment="1">
      <alignment horizontal="right" vertical="top" wrapText="1"/>
    </xf>
    <xf numFmtId="0" fontId="3" fillId="2" borderId="19" xfId="2" applyFont="1" applyFill="1" applyBorder="1" applyAlignment="1">
      <alignment horizontal="center" vertical="top" wrapText="1"/>
    </xf>
    <xf numFmtId="0" fontId="3" fillId="2" borderId="20" xfId="2" applyFont="1" applyFill="1" applyBorder="1" applyAlignment="1">
      <alignment horizontal="left" vertical="top" wrapText="1"/>
    </xf>
    <xf numFmtId="0" fontId="3" fillId="2" borderId="21" xfId="2" applyFont="1" applyFill="1" applyBorder="1" applyAlignment="1">
      <alignment horizontal="left" vertical="top" wrapText="1"/>
    </xf>
    <xf numFmtId="0" fontId="3" fillId="2" borderId="21" xfId="2" applyFont="1" applyFill="1" applyBorder="1" applyAlignment="1">
      <alignment horizontal="center" vertical="top" wrapText="1"/>
    </xf>
    <xf numFmtId="0" fontId="8" fillId="2" borderId="21" xfId="2" applyFont="1" applyFill="1" applyBorder="1" applyAlignment="1">
      <alignment horizontal="right" vertical="top" wrapText="1"/>
    </xf>
    <xf numFmtId="1" fontId="8" fillId="2" borderId="21" xfId="2" applyNumberFormat="1" applyFont="1" applyFill="1" applyBorder="1" applyAlignment="1">
      <alignment horizontal="right" vertical="top" wrapText="1"/>
    </xf>
    <xf numFmtId="164" fontId="12" fillId="2" borderId="21" xfId="1" applyFont="1" applyFill="1" applyBorder="1" applyAlignment="1">
      <alignment horizontal="right" vertical="top" wrapText="1"/>
    </xf>
    <xf numFmtId="0" fontId="2" fillId="0" borderId="2" xfId="2" applyBorder="1" applyAlignment="1">
      <alignment horizontal="left" vertical="top"/>
    </xf>
    <xf numFmtId="0" fontId="2" fillId="0" borderId="1" xfId="2" applyBorder="1" applyAlignment="1">
      <alignment vertical="top"/>
    </xf>
    <xf numFmtId="0" fontId="8" fillId="0" borderId="20" xfId="2" applyFont="1" applyBorder="1" applyAlignment="1">
      <alignment horizontal="left" vertical="top" wrapText="1"/>
    </xf>
  </cellXfs>
  <cellStyles count="3">
    <cellStyle name="Обычный" xfId="0" builtinId="0"/>
    <cellStyle name="Обычный 2" xfId="2" xr:uid="{D2A6330E-8D14-4A39-9EDB-80157E0545D1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8A22-AF39-48EF-8517-A1CDF4648E01}">
  <sheetPr>
    <pageSetUpPr fitToPage="1"/>
  </sheetPr>
  <dimension ref="A1:L63"/>
  <sheetViews>
    <sheetView showGridLines="0" tabSelected="1" topLeftCell="A44" workbookViewId="0">
      <selection activeCell="C1" sqref="A1:J65536"/>
    </sheetView>
  </sheetViews>
  <sheetFormatPr defaultRowHeight="12.75" x14ac:dyDescent="0.2"/>
  <cols>
    <col min="1" max="1" width="4.5703125" style="21" customWidth="1"/>
    <col min="2" max="3" width="13.5703125" style="21" customWidth="1"/>
    <col min="4" max="4" width="52.140625" style="21" customWidth="1"/>
    <col min="5" max="7" width="10.140625" style="21" customWidth="1"/>
    <col min="8" max="8" width="14.140625" style="21" bestFit="1" customWidth="1"/>
    <col min="9" max="10" width="10.140625" style="21" customWidth="1"/>
    <col min="11" max="11" width="9.140625" style="21"/>
    <col min="12" max="12" width="13.5703125" style="20" bestFit="1" customWidth="1"/>
    <col min="13" max="256" width="9.140625" style="21"/>
    <col min="257" max="257" width="4.5703125" style="21" customWidth="1"/>
    <col min="258" max="259" width="13.5703125" style="21" customWidth="1"/>
    <col min="260" max="260" width="52.140625" style="21" customWidth="1"/>
    <col min="261" max="263" width="10.140625" style="21" customWidth="1"/>
    <col min="264" max="264" width="14.140625" style="21" bestFit="1" customWidth="1"/>
    <col min="265" max="266" width="10.140625" style="21" customWidth="1"/>
    <col min="267" max="267" width="9.140625" style="21"/>
    <col min="268" max="268" width="13.5703125" style="21" bestFit="1" customWidth="1"/>
    <col min="269" max="512" width="9.140625" style="21"/>
    <col min="513" max="513" width="4.5703125" style="21" customWidth="1"/>
    <col min="514" max="515" width="13.5703125" style="21" customWidth="1"/>
    <col min="516" max="516" width="52.140625" style="21" customWidth="1"/>
    <col min="517" max="519" width="10.140625" style="21" customWidth="1"/>
    <col min="520" max="520" width="14.140625" style="21" bestFit="1" customWidth="1"/>
    <col min="521" max="522" width="10.140625" style="21" customWidth="1"/>
    <col min="523" max="523" width="9.140625" style="21"/>
    <col min="524" max="524" width="13.5703125" style="21" bestFit="1" customWidth="1"/>
    <col min="525" max="768" width="9.140625" style="21"/>
    <col min="769" max="769" width="4.5703125" style="21" customWidth="1"/>
    <col min="770" max="771" width="13.5703125" style="21" customWidth="1"/>
    <col min="772" max="772" width="52.140625" style="21" customWidth="1"/>
    <col min="773" max="775" width="10.140625" style="21" customWidth="1"/>
    <col min="776" max="776" width="14.140625" style="21" bestFit="1" customWidth="1"/>
    <col min="777" max="778" width="10.140625" style="21" customWidth="1"/>
    <col min="779" max="779" width="9.140625" style="21"/>
    <col min="780" max="780" width="13.5703125" style="21" bestFit="1" customWidth="1"/>
    <col min="781" max="1024" width="9.140625" style="21"/>
    <col min="1025" max="1025" width="4.5703125" style="21" customWidth="1"/>
    <col min="1026" max="1027" width="13.5703125" style="21" customWidth="1"/>
    <col min="1028" max="1028" width="52.140625" style="21" customWidth="1"/>
    <col min="1029" max="1031" width="10.140625" style="21" customWidth="1"/>
    <col min="1032" max="1032" width="14.140625" style="21" bestFit="1" customWidth="1"/>
    <col min="1033" max="1034" width="10.140625" style="21" customWidth="1"/>
    <col min="1035" max="1035" width="9.140625" style="21"/>
    <col min="1036" max="1036" width="13.5703125" style="21" bestFit="1" customWidth="1"/>
    <col min="1037" max="1280" width="9.140625" style="21"/>
    <col min="1281" max="1281" width="4.5703125" style="21" customWidth="1"/>
    <col min="1282" max="1283" width="13.5703125" style="21" customWidth="1"/>
    <col min="1284" max="1284" width="52.140625" style="21" customWidth="1"/>
    <col min="1285" max="1287" width="10.140625" style="21" customWidth="1"/>
    <col min="1288" max="1288" width="14.140625" style="21" bestFit="1" customWidth="1"/>
    <col min="1289" max="1290" width="10.140625" style="21" customWidth="1"/>
    <col min="1291" max="1291" width="9.140625" style="21"/>
    <col min="1292" max="1292" width="13.5703125" style="21" bestFit="1" customWidth="1"/>
    <col min="1293" max="1536" width="9.140625" style="21"/>
    <col min="1537" max="1537" width="4.5703125" style="21" customWidth="1"/>
    <col min="1538" max="1539" width="13.5703125" style="21" customWidth="1"/>
    <col min="1540" max="1540" width="52.140625" style="21" customWidth="1"/>
    <col min="1541" max="1543" width="10.140625" style="21" customWidth="1"/>
    <col min="1544" max="1544" width="14.140625" style="21" bestFit="1" customWidth="1"/>
    <col min="1545" max="1546" width="10.140625" style="21" customWidth="1"/>
    <col min="1547" max="1547" width="9.140625" style="21"/>
    <col min="1548" max="1548" width="13.5703125" style="21" bestFit="1" customWidth="1"/>
    <col min="1549" max="1792" width="9.140625" style="21"/>
    <col min="1793" max="1793" width="4.5703125" style="21" customWidth="1"/>
    <col min="1794" max="1795" width="13.5703125" style="21" customWidth="1"/>
    <col min="1796" max="1796" width="52.140625" style="21" customWidth="1"/>
    <col min="1797" max="1799" width="10.140625" style="21" customWidth="1"/>
    <col min="1800" max="1800" width="14.140625" style="21" bestFit="1" customWidth="1"/>
    <col min="1801" max="1802" width="10.140625" style="21" customWidth="1"/>
    <col min="1803" max="1803" width="9.140625" style="21"/>
    <col min="1804" max="1804" width="13.5703125" style="21" bestFit="1" customWidth="1"/>
    <col min="1805" max="2048" width="9.140625" style="21"/>
    <col min="2049" max="2049" width="4.5703125" style="21" customWidth="1"/>
    <col min="2050" max="2051" width="13.5703125" style="21" customWidth="1"/>
    <col min="2052" max="2052" width="52.140625" style="21" customWidth="1"/>
    <col min="2053" max="2055" width="10.140625" style="21" customWidth="1"/>
    <col min="2056" max="2056" width="14.140625" style="21" bestFit="1" customWidth="1"/>
    <col min="2057" max="2058" width="10.140625" style="21" customWidth="1"/>
    <col min="2059" max="2059" width="9.140625" style="21"/>
    <col min="2060" max="2060" width="13.5703125" style="21" bestFit="1" customWidth="1"/>
    <col min="2061" max="2304" width="9.140625" style="21"/>
    <col min="2305" max="2305" width="4.5703125" style="21" customWidth="1"/>
    <col min="2306" max="2307" width="13.5703125" style="21" customWidth="1"/>
    <col min="2308" max="2308" width="52.140625" style="21" customWidth="1"/>
    <col min="2309" max="2311" width="10.140625" style="21" customWidth="1"/>
    <col min="2312" max="2312" width="14.140625" style="21" bestFit="1" customWidth="1"/>
    <col min="2313" max="2314" width="10.140625" style="21" customWidth="1"/>
    <col min="2315" max="2315" width="9.140625" style="21"/>
    <col min="2316" max="2316" width="13.5703125" style="21" bestFit="1" customWidth="1"/>
    <col min="2317" max="2560" width="9.140625" style="21"/>
    <col min="2561" max="2561" width="4.5703125" style="21" customWidth="1"/>
    <col min="2562" max="2563" width="13.5703125" style="21" customWidth="1"/>
    <col min="2564" max="2564" width="52.140625" style="21" customWidth="1"/>
    <col min="2565" max="2567" width="10.140625" style="21" customWidth="1"/>
    <col min="2568" max="2568" width="14.140625" style="21" bestFit="1" customWidth="1"/>
    <col min="2569" max="2570" width="10.140625" style="21" customWidth="1"/>
    <col min="2571" max="2571" width="9.140625" style="21"/>
    <col min="2572" max="2572" width="13.5703125" style="21" bestFit="1" customWidth="1"/>
    <col min="2573" max="2816" width="9.140625" style="21"/>
    <col min="2817" max="2817" width="4.5703125" style="21" customWidth="1"/>
    <col min="2818" max="2819" width="13.5703125" style="21" customWidth="1"/>
    <col min="2820" max="2820" width="52.140625" style="21" customWidth="1"/>
    <col min="2821" max="2823" width="10.140625" style="21" customWidth="1"/>
    <col min="2824" max="2824" width="14.140625" style="21" bestFit="1" customWidth="1"/>
    <col min="2825" max="2826" width="10.140625" style="21" customWidth="1"/>
    <col min="2827" max="2827" width="9.140625" style="21"/>
    <col min="2828" max="2828" width="13.5703125" style="21" bestFit="1" customWidth="1"/>
    <col min="2829" max="3072" width="9.140625" style="21"/>
    <col min="3073" max="3073" width="4.5703125" style="21" customWidth="1"/>
    <col min="3074" max="3075" width="13.5703125" style="21" customWidth="1"/>
    <col min="3076" max="3076" width="52.140625" style="21" customWidth="1"/>
    <col min="3077" max="3079" width="10.140625" style="21" customWidth="1"/>
    <col min="3080" max="3080" width="14.140625" style="21" bestFit="1" customWidth="1"/>
    <col min="3081" max="3082" width="10.140625" style="21" customWidth="1"/>
    <col min="3083" max="3083" width="9.140625" style="21"/>
    <col min="3084" max="3084" width="13.5703125" style="21" bestFit="1" customWidth="1"/>
    <col min="3085" max="3328" width="9.140625" style="21"/>
    <col min="3329" max="3329" width="4.5703125" style="21" customWidth="1"/>
    <col min="3330" max="3331" width="13.5703125" style="21" customWidth="1"/>
    <col min="3332" max="3332" width="52.140625" style="21" customWidth="1"/>
    <col min="3333" max="3335" width="10.140625" style="21" customWidth="1"/>
    <col min="3336" max="3336" width="14.140625" style="21" bestFit="1" customWidth="1"/>
    <col min="3337" max="3338" width="10.140625" style="21" customWidth="1"/>
    <col min="3339" max="3339" width="9.140625" style="21"/>
    <col min="3340" max="3340" width="13.5703125" style="21" bestFit="1" customWidth="1"/>
    <col min="3341" max="3584" width="9.140625" style="21"/>
    <col min="3585" max="3585" width="4.5703125" style="21" customWidth="1"/>
    <col min="3586" max="3587" width="13.5703125" style="21" customWidth="1"/>
    <col min="3588" max="3588" width="52.140625" style="21" customWidth="1"/>
    <col min="3589" max="3591" width="10.140625" style="21" customWidth="1"/>
    <col min="3592" max="3592" width="14.140625" style="21" bestFit="1" customWidth="1"/>
    <col min="3593" max="3594" width="10.140625" style="21" customWidth="1"/>
    <col min="3595" max="3595" width="9.140625" style="21"/>
    <col min="3596" max="3596" width="13.5703125" style="21" bestFit="1" customWidth="1"/>
    <col min="3597" max="3840" width="9.140625" style="21"/>
    <col min="3841" max="3841" width="4.5703125" style="21" customWidth="1"/>
    <col min="3842" max="3843" width="13.5703125" style="21" customWidth="1"/>
    <col min="3844" max="3844" width="52.140625" style="21" customWidth="1"/>
    <col min="3845" max="3847" width="10.140625" style="21" customWidth="1"/>
    <col min="3848" max="3848" width="14.140625" style="21" bestFit="1" customWidth="1"/>
    <col min="3849" max="3850" width="10.140625" style="21" customWidth="1"/>
    <col min="3851" max="3851" width="9.140625" style="21"/>
    <col min="3852" max="3852" width="13.5703125" style="21" bestFit="1" customWidth="1"/>
    <col min="3853" max="4096" width="9.140625" style="21"/>
    <col min="4097" max="4097" width="4.5703125" style="21" customWidth="1"/>
    <col min="4098" max="4099" width="13.5703125" style="21" customWidth="1"/>
    <col min="4100" max="4100" width="52.140625" style="21" customWidth="1"/>
    <col min="4101" max="4103" width="10.140625" style="21" customWidth="1"/>
    <col min="4104" max="4104" width="14.140625" style="21" bestFit="1" customWidth="1"/>
    <col min="4105" max="4106" width="10.140625" style="21" customWidth="1"/>
    <col min="4107" max="4107" width="9.140625" style="21"/>
    <col min="4108" max="4108" width="13.5703125" style="21" bestFit="1" customWidth="1"/>
    <col min="4109" max="4352" width="9.140625" style="21"/>
    <col min="4353" max="4353" width="4.5703125" style="21" customWidth="1"/>
    <col min="4354" max="4355" width="13.5703125" style="21" customWidth="1"/>
    <col min="4356" max="4356" width="52.140625" style="21" customWidth="1"/>
    <col min="4357" max="4359" width="10.140625" style="21" customWidth="1"/>
    <col min="4360" max="4360" width="14.140625" style="21" bestFit="1" customWidth="1"/>
    <col min="4361" max="4362" width="10.140625" style="21" customWidth="1"/>
    <col min="4363" max="4363" width="9.140625" style="21"/>
    <col min="4364" max="4364" width="13.5703125" style="21" bestFit="1" customWidth="1"/>
    <col min="4365" max="4608" width="9.140625" style="21"/>
    <col min="4609" max="4609" width="4.5703125" style="21" customWidth="1"/>
    <col min="4610" max="4611" width="13.5703125" style="21" customWidth="1"/>
    <col min="4612" max="4612" width="52.140625" style="21" customWidth="1"/>
    <col min="4613" max="4615" width="10.140625" style="21" customWidth="1"/>
    <col min="4616" max="4616" width="14.140625" style="21" bestFit="1" customWidth="1"/>
    <col min="4617" max="4618" width="10.140625" style="21" customWidth="1"/>
    <col min="4619" max="4619" width="9.140625" style="21"/>
    <col min="4620" max="4620" width="13.5703125" style="21" bestFit="1" customWidth="1"/>
    <col min="4621" max="4864" width="9.140625" style="21"/>
    <col min="4865" max="4865" width="4.5703125" style="21" customWidth="1"/>
    <col min="4866" max="4867" width="13.5703125" style="21" customWidth="1"/>
    <col min="4868" max="4868" width="52.140625" style="21" customWidth="1"/>
    <col min="4869" max="4871" width="10.140625" style="21" customWidth="1"/>
    <col min="4872" max="4872" width="14.140625" style="21" bestFit="1" customWidth="1"/>
    <col min="4873" max="4874" width="10.140625" style="21" customWidth="1"/>
    <col min="4875" max="4875" width="9.140625" style="21"/>
    <col min="4876" max="4876" width="13.5703125" style="21" bestFit="1" customWidth="1"/>
    <col min="4877" max="5120" width="9.140625" style="21"/>
    <col min="5121" max="5121" width="4.5703125" style="21" customWidth="1"/>
    <col min="5122" max="5123" width="13.5703125" style="21" customWidth="1"/>
    <col min="5124" max="5124" width="52.140625" style="21" customWidth="1"/>
    <col min="5125" max="5127" width="10.140625" style="21" customWidth="1"/>
    <col min="5128" max="5128" width="14.140625" style="21" bestFit="1" customWidth="1"/>
    <col min="5129" max="5130" width="10.140625" style="21" customWidth="1"/>
    <col min="5131" max="5131" width="9.140625" style="21"/>
    <col min="5132" max="5132" width="13.5703125" style="21" bestFit="1" customWidth="1"/>
    <col min="5133" max="5376" width="9.140625" style="21"/>
    <col min="5377" max="5377" width="4.5703125" style="21" customWidth="1"/>
    <col min="5378" max="5379" width="13.5703125" style="21" customWidth="1"/>
    <col min="5380" max="5380" width="52.140625" style="21" customWidth="1"/>
    <col min="5381" max="5383" width="10.140625" style="21" customWidth="1"/>
    <col min="5384" max="5384" width="14.140625" style="21" bestFit="1" customWidth="1"/>
    <col min="5385" max="5386" width="10.140625" style="21" customWidth="1"/>
    <col min="5387" max="5387" width="9.140625" style="21"/>
    <col min="5388" max="5388" width="13.5703125" style="21" bestFit="1" customWidth="1"/>
    <col min="5389" max="5632" width="9.140625" style="21"/>
    <col min="5633" max="5633" width="4.5703125" style="21" customWidth="1"/>
    <col min="5634" max="5635" width="13.5703125" style="21" customWidth="1"/>
    <col min="5636" max="5636" width="52.140625" style="21" customWidth="1"/>
    <col min="5637" max="5639" width="10.140625" style="21" customWidth="1"/>
    <col min="5640" max="5640" width="14.140625" style="21" bestFit="1" customWidth="1"/>
    <col min="5641" max="5642" width="10.140625" style="21" customWidth="1"/>
    <col min="5643" max="5643" width="9.140625" style="21"/>
    <col min="5644" max="5644" width="13.5703125" style="21" bestFit="1" customWidth="1"/>
    <col min="5645" max="5888" width="9.140625" style="21"/>
    <col min="5889" max="5889" width="4.5703125" style="21" customWidth="1"/>
    <col min="5890" max="5891" width="13.5703125" style="21" customWidth="1"/>
    <col min="5892" max="5892" width="52.140625" style="21" customWidth="1"/>
    <col min="5893" max="5895" width="10.140625" style="21" customWidth="1"/>
    <col min="5896" max="5896" width="14.140625" style="21" bestFit="1" customWidth="1"/>
    <col min="5897" max="5898" width="10.140625" style="21" customWidth="1"/>
    <col min="5899" max="5899" width="9.140625" style="21"/>
    <col min="5900" max="5900" width="13.5703125" style="21" bestFit="1" customWidth="1"/>
    <col min="5901" max="6144" width="9.140625" style="21"/>
    <col min="6145" max="6145" width="4.5703125" style="21" customWidth="1"/>
    <col min="6146" max="6147" width="13.5703125" style="21" customWidth="1"/>
    <col min="6148" max="6148" width="52.140625" style="21" customWidth="1"/>
    <col min="6149" max="6151" width="10.140625" style="21" customWidth="1"/>
    <col min="6152" max="6152" width="14.140625" style="21" bestFit="1" customWidth="1"/>
    <col min="6153" max="6154" width="10.140625" style="21" customWidth="1"/>
    <col min="6155" max="6155" width="9.140625" style="21"/>
    <col min="6156" max="6156" width="13.5703125" style="21" bestFit="1" customWidth="1"/>
    <col min="6157" max="6400" width="9.140625" style="21"/>
    <col min="6401" max="6401" width="4.5703125" style="21" customWidth="1"/>
    <col min="6402" max="6403" width="13.5703125" style="21" customWidth="1"/>
    <col min="6404" max="6404" width="52.140625" style="21" customWidth="1"/>
    <col min="6405" max="6407" width="10.140625" style="21" customWidth="1"/>
    <col min="6408" max="6408" width="14.140625" style="21" bestFit="1" customWidth="1"/>
    <col min="6409" max="6410" width="10.140625" style="21" customWidth="1"/>
    <col min="6411" max="6411" width="9.140625" style="21"/>
    <col min="6412" max="6412" width="13.5703125" style="21" bestFit="1" customWidth="1"/>
    <col min="6413" max="6656" width="9.140625" style="21"/>
    <col min="6657" max="6657" width="4.5703125" style="21" customWidth="1"/>
    <col min="6658" max="6659" width="13.5703125" style="21" customWidth="1"/>
    <col min="6660" max="6660" width="52.140625" style="21" customWidth="1"/>
    <col min="6661" max="6663" width="10.140625" style="21" customWidth="1"/>
    <col min="6664" max="6664" width="14.140625" style="21" bestFit="1" customWidth="1"/>
    <col min="6665" max="6666" width="10.140625" style="21" customWidth="1"/>
    <col min="6667" max="6667" width="9.140625" style="21"/>
    <col min="6668" max="6668" width="13.5703125" style="21" bestFit="1" customWidth="1"/>
    <col min="6669" max="6912" width="9.140625" style="21"/>
    <col min="6913" max="6913" width="4.5703125" style="21" customWidth="1"/>
    <col min="6914" max="6915" width="13.5703125" style="21" customWidth="1"/>
    <col min="6916" max="6916" width="52.140625" style="21" customWidth="1"/>
    <col min="6917" max="6919" width="10.140625" style="21" customWidth="1"/>
    <col min="6920" max="6920" width="14.140625" style="21" bestFit="1" customWidth="1"/>
    <col min="6921" max="6922" width="10.140625" style="21" customWidth="1"/>
    <col min="6923" max="6923" width="9.140625" style="21"/>
    <col min="6924" max="6924" width="13.5703125" style="21" bestFit="1" customWidth="1"/>
    <col min="6925" max="7168" width="9.140625" style="21"/>
    <col min="7169" max="7169" width="4.5703125" style="21" customWidth="1"/>
    <col min="7170" max="7171" width="13.5703125" style="21" customWidth="1"/>
    <col min="7172" max="7172" width="52.140625" style="21" customWidth="1"/>
    <col min="7173" max="7175" width="10.140625" style="21" customWidth="1"/>
    <col min="7176" max="7176" width="14.140625" style="21" bestFit="1" customWidth="1"/>
    <col min="7177" max="7178" width="10.140625" style="21" customWidth="1"/>
    <col min="7179" max="7179" width="9.140625" style="21"/>
    <col min="7180" max="7180" width="13.5703125" style="21" bestFit="1" customWidth="1"/>
    <col min="7181" max="7424" width="9.140625" style="21"/>
    <col min="7425" max="7425" width="4.5703125" style="21" customWidth="1"/>
    <col min="7426" max="7427" width="13.5703125" style="21" customWidth="1"/>
    <col min="7428" max="7428" width="52.140625" style="21" customWidth="1"/>
    <col min="7429" max="7431" width="10.140625" style="21" customWidth="1"/>
    <col min="7432" max="7432" width="14.140625" style="21" bestFit="1" customWidth="1"/>
    <col min="7433" max="7434" width="10.140625" style="21" customWidth="1"/>
    <col min="7435" max="7435" width="9.140625" style="21"/>
    <col min="7436" max="7436" width="13.5703125" style="21" bestFit="1" customWidth="1"/>
    <col min="7437" max="7680" width="9.140625" style="21"/>
    <col min="7681" max="7681" width="4.5703125" style="21" customWidth="1"/>
    <col min="7682" max="7683" width="13.5703125" style="21" customWidth="1"/>
    <col min="7684" max="7684" width="52.140625" style="21" customWidth="1"/>
    <col min="7685" max="7687" width="10.140625" style="21" customWidth="1"/>
    <col min="7688" max="7688" width="14.140625" style="21" bestFit="1" customWidth="1"/>
    <col min="7689" max="7690" width="10.140625" style="21" customWidth="1"/>
    <col min="7691" max="7691" width="9.140625" style="21"/>
    <col min="7692" max="7692" width="13.5703125" style="21" bestFit="1" customWidth="1"/>
    <col min="7693" max="7936" width="9.140625" style="21"/>
    <col min="7937" max="7937" width="4.5703125" style="21" customWidth="1"/>
    <col min="7938" max="7939" width="13.5703125" style="21" customWidth="1"/>
    <col min="7940" max="7940" width="52.140625" style="21" customWidth="1"/>
    <col min="7941" max="7943" width="10.140625" style="21" customWidth="1"/>
    <col min="7944" max="7944" width="14.140625" style="21" bestFit="1" customWidth="1"/>
    <col min="7945" max="7946" width="10.140625" style="21" customWidth="1"/>
    <col min="7947" max="7947" width="9.140625" style="21"/>
    <col min="7948" max="7948" width="13.5703125" style="21" bestFit="1" customWidth="1"/>
    <col min="7949" max="8192" width="9.140625" style="21"/>
    <col min="8193" max="8193" width="4.5703125" style="21" customWidth="1"/>
    <col min="8194" max="8195" width="13.5703125" style="21" customWidth="1"/>
    <col min="8196" max="8196" width="52.140625" style="21" customWidth="1"/>
    <col min="8197" max="8199" width="10.140625" style="21" customWidth="1"/>
    <col min="8200" max="8200" width="14.140625" style="21" bestFit="1" customWidth="1"/>
    <col min="8201" max="8202" width="10.140625" style="21" customWidth="1"/>
    <col min="8203" max="8203" width="9.140625" style="21"/>
    <col min="8204" max="8204" width="13.5703125" style="21" bestFit="1" customWidth="1"/>
    <col min="8205" max="8448" width="9.140625" style="21"/>
    <col min="8449" max="8449" width="4.5703125" style="21" customWidth="1"/>
    <col min="8450" max="8451" width="13.5703125" style="21" customWidth="1"/>
    <col min="8452" max="8452" width="52.140625" style="21" customWidth="1"/>
    <col min="8453" max="8455" width="10.140625" style="21" customWidth="1"/>
    <col min="8456" max="8456" width="14.140625" style="21" bestFit="1" customWidth="1"/>
    <col min="8457" max="8458" width="10.140625" style="21" customWidth="1"/>
    <col min="8459" max="8459" width="9.140625" style="21"/>
    <col min="8460" max="8460" width="13.5703125" style="21" bestFit="1" customWidth="1"/>
    <col min="8461" max="8704" width="9.140625" style="21"/>
    <col min="8705" max="8705" width="4.5703125" style="21" customWidth="1"/>
    <col min="8706" max="8707" width="13.5703125" style="21" customWidth="1"/>
    <col min="8708" max="8708" width="52.140625" style="21" customWidth="1"/>
    <col min="8709" max="8711" width="10.140625" style="21" customWidth="1"/>
    <col min="8712" max="8712" width="14.140625" style="21" bestFit="1" customWidth="1"/>
    <col min="8713" max="8714" width="10.140625" style="21" customWidth="1"/>
    <col min="8715" max="8715" width="9.140625" style="21"/>
    <col min="8716" max="8716" width="13.5703125" style="21" bestFit="1" customWidth="1"/>
    <col min="8717" max="8960" width="9.140625" style="21"/>
    <col min="8961" max="8961" width="4.5703125" style="21" customWidth="1"/>
    <col min="8962" max="8963" width="13.5703125" style="21" customWidth="1"/>
    <col min="8964" max="8964" width="52.140625" style="21" customWidth="1"/>
    <col min="8965" max="8967" width="10.140625" style="21" customWidth="1"/>
    <col min="8968" max="8968" width="14.140625" style="21" bestFit="1" customWidth="1"/>
    <col min="8969" max="8970" width="10.140625" style="21" customWidth="1"/>
    <col min="8971" max="8971" width="9.140625" style="21"/>
    <col min="8972" max="8972" width="13.5703125" style="21" bestFit="1" customWidth="1"/>
    <col min="8973" max="9216" width="9.140625" style="21"/>
    <col min="9217" max="9217" width="4.5703125" style="21" customWidth="1"/>
    <col min="9218" max="9219" width="13.5703125" style="21" customWidth="1"/>
    <col min="9220" max="9220" width="52.140625" style="21" customWidth="1"/>
    <col min="9221" max="9223" width="10.140625" style="21" customWidth="1"/>
    <col min="9224" max="9224" width="14.140625" style="21" bestFit="1" customWidth="1"/>
    <col min="9225" max="9226" width="10.140625" style="21" customWidth="1"/>
    <col min="9227" max="9227" width="9.140625" style="21"/>
    <col min="9228" max="9228" width="13.5703125" style="21" bestFit="1" customWidth="1"/>
    <col min="9229" max="9472" width="9.140625" style="21"/>
    <col min="9473" max="9473" width="4.5703125" style="21" customWidth="1"/>
    <col min="9474" max="9475" width="13.5703125" style="21" customWidth="1"/>
    <col min="9476" max="9476" width="52.140625" style="21" customWidth="1"/>
    <col min="9477" max="9479" width="10.140625" style="21" customWidth="1"/>
    <col min="9480" max="9480" width="14.140625" style="21" bestFit="1" customWidth="1"/>
    <col min="9481" max="9482" width="10.140625" style="21" customWidth="1"/>
    <col min="9483" max="9483" width="9.140625" style="21"/>
    <col min="9484" max="9484" width="13.5703125" style="21" bestFit="1" customWidth="1"/>
    <col min="9485" max="9728" width="9.140625" style="21"/>
    <col min="9729" max="9729" width="4.5703125" style="21" customWidth="1"/>
    <col min="9730" max="9731" width="13.5703125" style="21" customWidth="1"/>
    <col min="9732" max="9732" width="52.140625" style="21" customWidth="1"/>
    <col min="9733" max="9735" width="10.140625" style="21" customWidth="1"/>
    <col min="9736" max="9736" width="14.140625" style="21" bestFit="1" customWidth="1"/>
    <col min="9737" max="9738" width="10.140625" style="21" customWidth="1"/>
    <col min="9739" max="9739" width="9.140625" style="21"/>
    <col min="9740" max="9740" width="13.5703125" style="21" bestFit="1" customWidth="1"/>
    <col min="9741" max="9984" width="9.140625" style="21"/>
    <col min="9985" max="9985" width="4.5703125" style="21" customWidth="1"/>
    <col min="9986" max="9987" width="13.5703125" style="21" customWidth="1"/>
    <col min="9988" max="9988" width="52.140625" style="21" customWidth="1"/>
    <col min="9989" max="9991" width="10.140625" style="21" customWidth="1"/>
    <col min="9992" max="9992" width="14.140625" style="21" bestFit="1" customWidth="1"/>
    <col min="9993" max="9994" width="10.140625" style="21" customWidth="1"/>
    <col min="9995" max="9995" width="9.140625" style="21"/>
    <col min="9996" max="9996" width="13.5703125" style="21" bestFit="1" customWidth="1"/>
    <col min="9997" max="10240" width="9.140625" style="21"/>
    <col min="10241" max="10241" width="4.5703125" style="21" customWidth="1"/>
    <col min="10242" max="10243" width="13.5703125" style="21" customWidth="1"/>
    <col min="10244" max="10244" width="52.140625" style="21" customWidth="1"/>
    <col min="10245" max="10247" width="10.140625" style="21" customWidth="1"/>
    <col min="10248" max="10248" width="14.140625" style="21" bestFit="1" customWidth="1"/>
    <col min="10249" max="10250" width="10.140625" style="21" customWidth="1"/>
    <col min="10251" max="10251" width="9.140625" style="21"/>
    <col min="10252" max="10252" width="13.5703125" style="21" bestFit="1" customWidth="1"/>
    <col min="10253" max="10496" width="9.140625" style="21"/>
    <col min="10497" max="10497" width="4.5703125" style="21" customWidth="1"/>
    <col min="10498" max="10499" width="13.5703125" style="21" customWidth="1"/>
    <col min="10500" max="10500" width="52.140625" style="21" customWidth="1"/>
    <col min="10501" max="10503" width="10.140625" style="21" customWidth="1"/>
    <col min="10504" max="10504" width="14.140625" style="21" bestFit="1" customWidth="1"/>
    <col min="10505" max="10506" width="10.140625" style="21" customWidth="1"/>
    <col min="10507" max="10507" width="9.140625" style="21"/>
    <col min="10508" max="10508" width="13.5703125" style="21" bestFit="1" customWidth="1"/>
    <col min="10509" max="10752" width="9.140625" style="21"/>
    <col min="10753" max="10753" width="4.5703125" style="21" customWidth="1"/>
    <col min="10754" max="10755" width="13.5703125" style="21" customWidth="1"/>
    <col min="10756" max="10756" width="52.140625" style="21" customWidth="1"/>
    <col min="10757" max="10759" width="10.140625" style="21" customWidth="1"/>
    <col min="10760" max="10760" width="14.140625" style="21" bestFit="1" customWidth="1"/>
    <col min="10761" max="10762" width="10.140625" style="21" customWidth="1"/>
    <col min="10763" max="10763" width="9.140625" style="21"/>
    <col min="10764" max="10764" width="13.5703125" style="21" bestFit="1" customWidth="1"/>
    <col min="10765" max="11008" width="9.140625" style="21"/>
    <col min="11009" max="11009" width="4.5703125" style="21" customWidth="1"/>
    <col min="11010" max="11011" width="13.5703125" style="21" customWidth="1"/>
    <col min="11012" max="11012" width="52.140625" style="21" customWidth="1"/>
    <col min="11013" max="11015" width="10.140625" style="21" customWidth="1"/>
    <col min="11016" max="11016" width="14.140625" style="21" bestFit="1" customWidth="1"/>
    <col min="11017" max="11018" width="10.140625" style="21" customWidth="1"/>
    <col min="11019" max="11019" width="9.140625" style="21"/>
    <col min="11020" max="11020" width="13.5703125" style="21" bestFit="1" customWidth="1"/>
    <col min="11021" max="11264" width="9.140625" style="21"/>
    <col min="11265" max="11265" width="4.5703125" style="21" customWidth="1"/>
    <col min="11266" max="11267" width="13.5703125" style="21" customWidth="1"/>
    <col min="11268" max="11268" width="52.140625" style="21" customWidth="1"/>
    <col min="11269" max="11271" width="10.140625" style="21" customWidth="1"/>
    <col min="11272" max="11272" width="14.140625" style="21" bestFit="1" customWidth="1"/>
    <col min="11273" max="11274" width="10.140625" style="21" customWidth="1"/>
    <col min="11275" max="11275" width="9.140625" style="21"/>
    <col min="11276" max="11276" width="13.5703125" style="21" bestFit="1" customWidth="1"/>
    <col min="11277" max="11520" width="9.140625" style="21"/>
    <col min="11521" max="11521" width="4.5703125" style="21" customWidth="1"/>
    <col min="11522" max="11523" width="13.5703125" style="21" customWidth="1"/>
    <col min="11524" max="11524" width="52.140625" style="21" customWidth="1"/>
    <col min="11525" max="11527" width="10.140625" style="21" customWidth="1"/>
    <col min="11528" max="11528" width="14.140625" style="21" bestFit="1" customWidth="1"/>
    <col min="11529" max="11530" width="10.140625" style="21" customWidth="1"/>
    <col min="11531" max="11531" width="9.140625" style="21"/>
    <col min="11532" max="11532" width="13.5703125" style="21" bestFit="1" customWidth="1"/>
    <col min="11533" max="11776" width="9.140625" style="21"/>
    <col min="11777" max="11777" width="4.5703125" style="21" customWidth="1"/>
    <col min="11778" max="11779" width="13.5703125" style="21" customWidth="1"/>
    <col min="11780" max="11780" width="52.140625" style="21" customWidth="1"/>
    <col min="11781" max="11783" width="10.140625" style="21" customWidth="1"/>
    <col min="11784" max="11784" width="14.140625" style="21" bestFit="1" customWidth="1"/>
    <col min="11785" max="11786" width="10.140625" style="21" customWidth="1"/>
    <col min="11787" max="11787" width="9.140625" style="21"/>
    <col min="11788" max="11788" width="13.5703125" style="21" bestFit="1" customWidth="1"/>
    <col min="11789" max="12032" width="9.140625" style="21"/>
    <col min="12033" max="12033" width="4.5703125" style="21" customWidth="1"/>
    <col min="12034" max="12035" width="13.5703125" style="21" customWidth="1"/>
    <col min="12036" max="12036" width="52.140625" style="21" customWidth="1"/>
    <col min="12037" max="12039" width="10.140625" style="21" customWidth="1"/>
    <col min="12040" max="12040" width="14.140625" style="21" bestFit="1" customWidth="1"/>
    <col min="12041" max="12042" width="10.140625" style="21" customWidth="1"/>
    <col min="12043" max="12043" width="9.140625" style="21"/>
    <col min="12044" max="12044" width="13.5703125" style="21" bestFit="1" customWidth="1"/>
    <col min="12045" max="12288" width="9.140625" style="21"/>
    <col min="12289" max="12289" width="4.5703125" style="21" customWidth="1"/>
    <col min="12290" max="12291" width="13.5703125" style="21" customWidth="1"/>
    <col min="12292" max="12292" width="52.140625" style="21" customWidth="1"/>
    <col min="12293" max="12295" width="10.140625" style="21" customWidth="1"/>
    <col min="12296" max="12296" width="14.140625" style="21" bestFit="1" customWidth="1"/>
    <col min="12297" max="12298" width="10.140625" style="21" customWidth="1"/>
    <col min="12299" max="12299" width="9.140625" style="21"/>
    <col min="12300" max="12300" width="13.5703125" style="21" bestFit="1" customWidth="1"/>
    <col min="12301" max="12544" width="9.140625" style="21"/>
    <col min="12545" max="12545" width="4.5703125" style="21" customWidth="1"/>
    <col min="12546" max="12547" width="13.5703125" style="21" customWidth="1"/>
    <col min="12548" max="12548" width="52.140625" style="21" customWidth="1"/>
    <col min="12549" max="12551" width="10.140625" style="21" customWidth="1"/>
    <col min="12552" max="12552" width="14.140625" style="21" bestFit="1" customWidth="1"/>
    <col min="12553" max="12554" width="10.140625" style="21" customWidth="1"/>
    <col min="12555" max="12555" width="9.140625" style="21"/>
    <col min="12556" max="12556" width="13.5703125" style="21" bestFit="1" customWidth="1"/>
    <col min="12557" max="12800" width="9.140625" style="21"/>
    <col min="12801" max="12801" width="4.5703125" style="21" customWidth="1"/>
    <col min="12802" max="12803" width="13.5703125" style="21" customWidth="1"/>
    <col min="12804" max="12804" width="52.140625" style="21" customWidth="1"/>
    <col min="12805" max="12807" width="10.140625" style="21" customWidth="1"/>
    <col min="12808" max="12808" width="14.140625" style="21" bestFit="1" customWidth="1"/>
    <col min="12809" max="12810" width="10.140625" style="21" customWidth="1"/>
    <col min="12811" max="12811" width="9.140625" style="21"/>
    <col min="12812" max="12812" width="13.5703125" style="21" bestFit="1" customWidth="1"/>
    <col min="12813" max="13056" width="9.140625" style="21"/>
    <col min="13057" max="13057" width="4.5703125" style="21" customWidth="1"/>
    <col min="13058" max="13059" width="13.5703125" style="21" customWidth="1"/>
    <col min="13060" max="13060" width="52.140625" style="21" customWidth="1"/>
    <col min="13061" max="13063" width="10.140625" style="21" customWidth="1"/>
    <col min="13064" max="13064" width="14.140625" style="21" bestFit="1" customWidth="1"/>
    <col min="13065" max="13066" width="10.140625" style="21" customWidth="1"/>
    <col min="13067" max="13067" width="9.140625" style="21"/>
    <col min="13068" max="13068" width="13.5703125" style="21" bestFit="1" customWidth="1"/>
    <col min="13069" max="13312" width="9.140625" style="21"/>
    <col min="13313" max="13313" width="4.5703125" style="21" customWidth="1"/>
    <col min="13314" max="13315" width="13.5703125" style="21" customWidth="1"/>
    <col min="13316" max="13316" width="52.140625" style="21" customWidth="1"/>
    <col min="13317" max="13319" width="10.140625" style="21" customWidth="1"/>
    <col min="13320" max="13320" width="14.140625" style="21" bestFit="1" customWidth="1"/>
    <col min="13321" max="13322" width="10.140625" style="21" customWidth="1"/>
    <col min="13323" max="13323" width="9.140625" style="21"/>
    <col min="13324" max="13324" width="13.5703125" style="21" bestFit="1" customWidth="1"/>
    <col min="13325" max="13568" width="9.140625" style="21"/>
    <col min="13569" max="13569" width="4.5703125" style="21" customWidth="1"/>
    <col min="13570" max="13571" width="13.5703125" style="21" customWidth="1"/>
    <col min="13572" max="13572" width="52.140625" style="21" customWidth="1"/>
    <col min="13573" max="13575" width="10.140625" style="21" customWidth="1"/>
    <col min="13576" max="13576" width="14.140625" style="21" bestFit="1" customWidth="1"/>
    <col min="13577" max="13578" width="10.140625" style="21" customWidth="1"/>
    <col min="13579" max="13579" width="9.140625" style="21"/>
    <col min="13580" max="13580" width="13.5703125" style="21" bestFit="1" customWidth="1"/>
    <col min="13581" max="13824" width="9.140625" style="21"/>
    <col min="13825" max="13825" width="4.5703125" style="21" customWidth="1"/>
    <col min="13826" max="13827" width="13.5703125" style="21" customWidth="1"/>
    <col min="13828" max="13828" width="52.140625" style="21" customWidth="1"/>
    <col min="13829" max="13831" width="10.140625" style="21" customWidth="1"/>
    <col min="13832" max="13832" width="14.140625" style="21" bestFit="1" customWidth="1"/>
    <col min="13833" max="13834" width="10.140625" style="21" customWidth="1"/>
    <col min="13835" max="13835" width="9.140625" style="21"/>
    <col min="13836" max="13836" width="13.5703125" style="21" bestFit="1" customWidth="1"/>
    <col min="13837" max="14080" width="9.140625" style="21"/>
    <col min="14081" max="14081" width="4.5703125" style="21" customWidth="1"/>
    <col min="14082" max="14083" width="13.5703125" style="21" customWidth="1"/>
    <col min="14084" max="14084" width="52.140625" style="21" customWidth="1"/>
    <col min="14085" max="14087" width="10.140625" style="21" customWidth="1"/>
    <col min="14088" max="14088" width="14.140625" style="21" bestFit="1" customWidth="1"/>
    <col min="14089" max="14090" width="10.140625" style="21" customWidth="1"/>
    <col min="14091" max="14091" width="9.140625" style="21"/>
    <col min="14092" max="14092" width="13.5703125" style="21" bestFit="1" customWidth="1"/>
    <col min="14093" max="14336" width="9.140625" style="21"/>
    <col min="14337" max="14337" width="4.5703125" style="21" customWidth="1"/>
    <col min="14338" max="14339" width="13.5703125" style="21" customWidth="1"/>
    <col min="14340" max="14340" width="52.140625" style="21" customWidth="1"/>
    <col min="14341" max="14343" width="10.140625" style="21" customWidth="1"/>
    <col min="14344" max="14344" width="14.140625" style="21" bestFit="1" customWidth="1"/>
    <col min="14345" max="14346" width="10.140625" style="21" customWidth="1"/>
    <col min="14347" max="14347" width="9.140625" style="21"/>
    <col min="14348" max="14348" width="13.5703125" style="21" bestFit="1" customWidth="1"/>
    <col min="14349" max="14592" width="9.140625" style="21"/>
    <col min="14593" max="14593" width="4.5703125" style="21" customWidth="1"/>
    <col min="14594" max="14595" width="13.5703125" style="21" customWidth="1"/>
    <col min="14596" max="14596" width="52.140625" style="21" customWidth="1"/>
    <col min="14597" max="14599" width="10.140625" style="21" customWidth="1"/>
    <col min="14600" max="14600" width="14.140625" style="21" bestFit="1" customWidth="1"/>
    <col min="14601" max="14602" width="10.140625" style="21" customWidth="1"/>
    <col min="14603" max="14603" width="9.140625" style="21"/>
    <col min="14604" max="14604" width="13.5703125" style="21" bestFit="1" customWidth="1"/>
    <col min="14605" max="14848" width="9.140625" style="21"/>
    <col min="14849" max="14849" width="4.5703125" style="21" customWidth="1"/>
    <col min="14850" max="14851" width="13.5703125" style="21" customWidth="1"/>
    <col min="14852" max="14852" width="52.140625" style="21" customWidth="1"/>
    <col min="14853" max="14855" width="10.140625" style="21" customWidth="1"/>
    <col min="14856" max="14856" width="14.140625" style="21" bestFit="1" customWidth="1"/>
    <col min="14857" max="14858" width="10.140625" style="21" customWidth="1"/>
    <col min="14859" max="14859" width="9.140625" style="21"/>
    <col min="14860" max="14860" width="13.5703125" style="21" bestFit="1" customWidth="1"/>
    <col min="14861" max="15104" width="9.140625" style="21"/>
    <col min="15105" max="15105" width="4.5703125" style="21" customWidth="1"/>
    <col min="15106" max="15107" width="13.5703125" style="21" customWidth="1"/>
    <col min="15108" max="15108" width="52.140625" style="21" customWidth="1"/>
    <col min="15109" max="15111" width="10.140625" style="21" customWidth="1"/>
    <col min="15112" max="15112" width="14.140625" style="21" bestFit="1" customWidth="1"/>
    <col min="15113" max="15114" width="10.140625" style="21" customWidth="1"/>
    <col min="15115" max="15115" width="9.140625" style="21"/>
    <col min="15116" max="15116" width="13.5703125" style="21" bestFit="1" customWidth="1"/>
    <col min="15117" max="15360" width="9.140625" style="21"/>
    <col min="15361" max="15361" width="4.5703125" style="21" customWidth="1"/>
    <col min="15362" max="15363" width="13.5703125" style="21" customWidth="1"/>
    <col min="15364" max="15364" width="52.140625" style="21" customWidth="1"/>
    <col min="15365" max="15367" width="10.140625" style="21" customWidth="1"/>
    <col min="15368" max="15368" width="14.140625" style="21" bestFit="1" customWidth="1"/>
    <col min="15369" max="15370" width="10.140625" style="21" customWidth="1"/>
    <col min="15371" max="15371" width="9.140625" style="21"/>
    <col min="15372" max="15372" width="13.5703125" style="21" bestFit="1" customWidth="1"/>
    <col min="15373" max="15616" width="9.140625" style="21"/>
    <col min="15617" max="15617" width="4.5703125" style="21" customWidth="1"/>
    <col min="15618" max="15619" width="13.5703125" style="21" customWidth="1"/>
    <col min="15620" max="15620" width="52.140625" style="21" customWidth="1"/>
    <col min="15621" max="15623" width="10.140625" style="21" customWidth="1"/>
    <col min="15624" max="15624" width="14.140625" style="21" bestFit="1" customWidth="1"/>
    <col min="15625" max="15626" width="10.140625" style="21" customWidth="1"/>
    <col min="15627" max="15627" width="9.140625" style="21"/>
    <col min="15628" max="15628" width="13.5703125" style="21" bestFit="1" customWidth="1"/>
    <col min="15629" max="15872" width="9.140625" style="21"/>
    <col min="15873" max="15873" width="4.5703125" style="21" customWidth="1"/>
    <col min="15874" max="15875" width="13.5703125" style="21" customWidth="1"/>
    <col min="15876" max="15876" width="52.140625" style="21" customWidth="1"/>
    <col min="15877" max="15879" width="10.140625" style="21" customWidth="1"/>
    <col min="15880" max="15880" width="14.140625" style="21" bestFit="1" customWidth="1"/>
    <col min="15881" max="15882" width="10.140625" style="21" customWidth="1"/>
    <col min="15883" max="15883" width="9.140625" style="21"/>
    <col min="15884" max="15884" width="13.5703125" style="21" bestFit="1" customWidth="1"/>
    <col min="15885" max="16128" width="9.140625" style="21"/>
    <col min="16129" max="16129" width="4.5703125" style="21" customWidth="1"/>
    <col min="16130" max="16131" width="13.5703125" style="21" customWidth="1"/>
    <col min="16132" max="16132" width="52.140625" style="21" customWidth="1"/>
    <col min="16133" max="16135" width="10.140625" style="21" customWidth="1"/>
    <col min="16136" max="16136" width="14.140625" style="21" bestFit="1" customWidth="1"/>
    <col min="16137" max="16138" width="10.140625" style="21" customWidth="1"/>
    <col min="16139" max="16139" width="9.140625" style="21"/>
    <col min="16140" max="16140" width="13.5703125" style="21" bestFit="1" customWidth="1"/>
    <col min="16141" max="16384" width="9.140625" style="21"/>
  </cols>
  <sheetData>
    <row r="1" spans="1:12" s="1" customFormat="1" x14ac:dyDescent="0.25">
      <c r="J1" s="2" t="s">
        <v>0</v>
      </c>
      <c r="L1" s="3"/>
    </row>
    <row r="2" spans="1:12" s="1" customFormat="1" x14ac:dyDescent="0.25">
      <c r="B2" s="4" t="s">
        <v>1</v>
      </c>
      <c r="C2" s="4"/>
      <c r="D2" s="4"/>
      <c r="E2" s="4"/>
      <c r="F2" s="4"/>
      <c r="G2" s="4"/>
      <c r="H2" s="4"/>
      <c r="I2" s="4"/>
      <c r="L2" s="3"/>
    </row>
    <row r="3" spans="1:12" s="1" customFormat="1" x14ac:dyDescent="0.25">
      <c r="A3" s="5"/>
      <c r="B3" s="6" t="s">
        <v>2</v>
      </c>
      <c r="C3" s="6"/>
      <c r="D3" s="6"/>
      <c r="E3" s="6"/>
      <c r="F3" s="6"/>
      <c r="G3" s="6"/>
      <c r="H3" s="6"/>
      <c r="I3" s="6"/>
      <c r="L3" s="3"/>
    </row>
    <row r="4" spans="1:12" s="1" customFormat="1" x14ac:dyDescent="0.25">
      <c r="D4" s="7"/>
      <c r="E4" s="7"/>
      <c r="F4" s="7"/>
      <c r="G4" s="7"/>
      <c r="H4" s="7"/>
      <c r="I4" s="7"/>
      <c r="J4" s="7"/>
      <c r="L4" s="3"/>
    </row>
    <row r="5" spans="1:12" s="1" customFormat="1" ht="15.75" x14ac:dyDescent="0.25">
      <c r="A5" s="8"/>
      <c r="B5" s="8"/>
      <c r="C5" s="8"/>
      <c r="D5" s="9" t="s">
        <v>3</v>
      </c>
      <c r="E5" s="9" t="s">
        <v>4</v>
      </c>
      <c r="F5" s="10" t="s">
        <v>5</v>
      </c>
      <c r="G5" s="10"/>
      <c r="H5" s="10"/>
      <c r="I5" s="10"/>
      <c r="J5" s="11"/>
      <c r="L5" s="3"/>
    </row>
    <row r="6" spans="1:12" s="1" customFormat="1" x14ac:dyDescent="0.25">
      <c r="A6" s="5"/>
      <c r="B6" s="12" t="s">
        <v>6</v>
      </c>
      <c r="C6" s="12"/>
      <c r="D6" s="12"/>
      <c r="E6" s="12"/>
      <c r="F6" s="12"/>
      <c r="G6" s="12"/>
      <c r="H6" s="12"/>
      <c r="I6" s="12"/>
      <c r="L6" s="3"/>
    </row>
    <row r="7" spans="1:12" s="1" customFormat="1" x14ac:dyDescent="0.25">
      <c r="E7" s="7"/>
      <c r="G7" s="13" t="s">
        <v>7</v>
      </c>
      <c r="H7" s="13"/>
      <c r="I7" s="14"/>
      <c r="J7" s="14"/>
      <c r="L7" s="3"/>
    </row>
    <row r="8" spans="1:12" s="1" customFormat="1" x14ac:dyDescent="0.25">
      <c r="A8" s="15" t="s">
        <v>8</v>
      </c>
      <c r="B8" s="4" t="s">
        <v>9</v>
      </c>
      <c r="C8" s="4"/>
      <c r="D8" s="4"/>
      <c r="E8" s="4"/>
      <c r="F8" s="4"/>
      <c r="G8" s="4"/>
      <c r="H8" s="4"/>
      <c r="I8" s="4"/>
      <c r="J8" s="7"/>
      <c r="L8" s="3"/>
    </row>
    <row r="9" spans="1:12" s="1" customFormat="1" x14ac:dyDescent="0.25">
      <c r="A9" s="5"/>
      <c r="B9" s="6" t="s">
        <v>10</v>
      </c>
      <c r="C9" s="6"/>
      <c r="D9" s="6"/>
      <c r="E9" s="6"/>
      <c r="F9" s="6"/>
      <c r="G9" s="6"/>
      <c r="H9" s="6"/>
      <c r="I9" s="6"/>
      <c r="L9" s="3"/>
    </row>
    <row r="10" spans="1:12" s="1" customFormat="1" x14ac:dyDescent="0.25">
      <c r="L10" s="3"/>
    </row>
    <row r="11" spans="1:12" s="1" customFormat="1" x14ac:dyDescent="0.25">
      <c r="A11" s="16" t="s">
        <v>11</v>
      </c>
      <c r="B11" s="16"/>
      <c r="C11" s="16"/>
      <c r="D11" s="14"/>
      <c r="E11" s="14"/>
      <c r="F11" s="14"/>
      <c r="G11" s="14"/>
      <c r="H11" s="14"/>
      <c r="I11" s="14"/>
      <c r="J11" s="14"/>
      <c r="L11" s="3"/>
    </row>
    <row r="12" spans="1:12" x14ac:dyDescent="0.2">
      <c r="A12" s="17"/>
      <c r="B12" s="17"/>
      <c r="C12" s="17"/>
      <c r="D12" s="17"/>
      <c r="E12" s="17"/>
      <c r="F12" s="17"/>
      <c r="G12" s="18" t="s">
        <v>12</v>
      </c>
      <c r="H12" s="18"/>
      <c r="I12" s="19" t="s">
        <v>13</v>
      </c>
      <c r="J12" s="19"/>
      <c r="K12" s="17"/>
    </row>
    <row r="13" spans="1:12" x14ac:dyDescent="0.2">
      <c r="A13" s="22" t="s">
        <v>14</v>
      </c>
      <c r="B13" s="22"/>
      <c r="C13" s="22"/>
      <c r="D13" s="22"/>
      <c r="E13" s="23"/>
      <c r="F13" s="24"/>
      <c r="G13" s="25" t="s">
        <v>15</v>
      </c>
      <c r="H13" s="25" t="s">
        <v>16</v>
      </c>
      <c r="I13" s="25" t="s">
        <v>17</v>
      </c>
      <c r="J13" s="25" t="s">
        <v>16</v>
      </c>
    </row>
    <row r="14" spans="1:12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2" s="1" customFormat="1" x14ac:dyDescent="0.25">
      <c r="A15" s="26" t="s">
        <v>18</v>
      </c>
      <c r="B15" s="26"/>
      <c r="C15" s="26"/>
      <c r="D15" s="26"/>
      <c r="E15" s="26"/>
      <c r="F15" s="26"/>
      <c r="G15" s="26"/>
      <c r="H15" s="26"/>
      <c r="I15" s="26"/>
      <c r="J15" s="27" t="s">
        <v>19</v>
      </c>
      <c r="L15" s="3"/>
    </row>
    <row r="16" spans="1:12" s="33" customFormat="1" x14ac:dyDescent="0.25">
      <c r="A16" s="28" t="s">
        <v>20</v>
      </c>
      <c r="B16" s="28" t="s">
        <v>21</v>
      </c>
      <c r="C16" s="29"/>
      <c r="D16" s="28" t="s">
        <v>22</v>
      </c>
      <c r="E16" s="28" t="s">
        <v>23</v>
      </c>
      <c r="F16" s="28" t="s">
        <v>24</v>
      </c>
      <c r="G16" s="30" t="s">
        <v>14</v>
      </c>
      <c r="H16" s="31"/>
      <c r="I16" s="31"/>
      <c r="J16" s="32"/>
      <c r="L16" s="34"/>
    </row>
    <row r="17" spans="1:12" s="33" customFormat="1" ht="12.75" customHeight="1" x14ac:dyDescent="0.25">
      <c r="A17" s="35"/>
      <c r="B17" s="35"/>
      <c r="C17" s="36"/>
      <c r="D17" s="35"/>
      <c r="E17" s="35"/>
      <c r="F17" s="35"/>
      <c r="G17" s="37" t="s">
        <v>25</v>
      </c>
      <c r="H17" s="38"/>
      <c r="I17" s="37" t="s">
        <v>26</v>
      </c>
      <c r="J17" s="38"/>
      <c r="L17" s="34"/>
    </row>
    <row r="18" spans="1:12" s="33" customFormat="1" x14ac:dyDescent="0.25">
      <c r="A18" s="39"/>
      <c r="B18" s="39"/>
      <c r="C18" s="40"/>
      <c r="D18" s="39"/>
      <c r="E18" s="39"/>
      <c r="F18" s="39"/>
      <c r="G18" s="41" t="s">
        <v>27</v>
      </c>
      <c r="H18" s="41" t="s">
        <v>28</v>
      </c>
      <c r="I18" s="41" t="s">
        <v>27</v>
      </c>
      <c r="J18" s="41" t="s">
        <v>28</v>
      </c>
      <c r="L18" s="34"/>
    </row>
    <row r="19" spans="1:12" s="45" customFormat="1" x14ac:dyDescent="0.2">
      <c r="A19" s="42">
        <v>1</v>
      </c>
      <c r="B19" s="43">
        <v>2</v>
      </c>
      <c r="C19" s="43"/>
      <c r="D19" s="43">
        <v>3</v>
      </c>
      <c r="E19" s="43">
        <v>4</v>
      </c>
      <c r="F19" s="43">
        <v>5</v>
      </c>
      <c r="G19" s="44">
        <v>6</v>
      </c>
      <c r="H19" s="44">
        <v>7</v>
      </c>
      <c r="I19" s="44">
        <v>8</v>
      </c>
      <c r="J19" s="44">
        <v>9</v>
      </c>
      <c r="L19" s="46"/>
    </row>
    <row r="20" spans="1:12" ht="13.5" thickBot="1" x14ac:dyDescent="0.25">
      <c r="A20" s="47"/>
      <c r="B20" s="48"/>
      <c r="C20" s="48"/>
      <c r="D20" s="48"/>
      <c r="E20" s="48"/>
      <c r="F20" s="48"/>
      <c r="G20" s="48"/>
      <c r="H20" s="48"/>
      <c r="I20" s="48"/>
      <c r="J20" s="49"/>
    </row>
    <row r="21" spans="1:12" s="1" customFormat="1" ht="13.5" thickTop="1" x14ac:dyDescent="0.25">
      <c r="A21" s="50" t="s">
        <v>29</v>
      </c>
      <c r="B21" s="51"/>
      <c r="C21" s="51"/>
      <c r="D21" s="51"/>
      <c r="E21" s="51"/>
      <c r="F21" s="51"/>
      <c r="G21" s="51"/>
      <c r="H21" s="51"/>
      <c r="I21" s="51"/>
      <c r="J21" s="52"/>
      <c r="K21" s="53"/>
      <c r="L21" s="3"/>
    </row>
    <row r="22" spans="1:12" s="1" customFormat="1" x14ac:dyDescent="0.25">
      <c r="A22" s="54"/>
      <c r="B22" s="55"/>
      <c r="C22" s="55"/>
      <c r="D22" s="56" t="s">
        <v>30</v>
      </c>
      <c r="E22" s="57"/>
      <c r="F22" s="58"/>
      <c r="G22" s="58"/>
      <c r="H22" s="59"/>
      <c r="I22" s="58"/>
      <c r="J22" s="60"/>
      <c r="L22" s="3"/>
    </row>
    <row r="23" spans="1:12" s="1" customFormat="1" x14ac:dyDescent="0.25">
      <c r="A23" s="61" t="s">
        <v>31</v>
      </c>
      <c r="B23" s="62" t="s">
        <v>31</v>
      </c>
      <c r="C23" s="62"/>
      <c r="D23" s="62" t="s">
        <v>32</v>
      </c>
      <c r="E23" s="63" t="s">
        <v>33</v>
      </c>
      <c r="F23" s="64">
        <v>103.065</v>
      </c>
      <c r="G23" s="65">
        <v>29818.17</v>
      </c>
      <c r="H23" s="66">
        <f>F23*G23</f>
        <v>3073209.6910499996</v>
      </c>
      <c r="I23" s="67" t="s">
        <v>17</v>
      </c>
      <c r="J23" s="68" t="s">
        <v>17</v>
      </c>
      <c r="L23" s="3"/>
    </row>
    <row r="24" spans="1:12" s="1" customFormat="1" x14ac:dyDescent="0.25">
      <c r="A24" s="61" t="s">
        <v>34</v>
      </c>
      <c r="B24" s="62" t="s">
        <v>35</v>
      </c>
      <c r="C24" s="62"/>
      <c r="D24" s="62" t="s">
        <v>36</v>
      </c>
      <c r="E24" s="63" t="s">
        <v>33</v>
      </c>
      <c r="F24" s="64">
        <v>2.7633000000000001</v>
      </c>
      <c r="G24" s="67" t="s">
        <v>17</v>
      </c>
      <c r="H24" s="68" t="s">
        <v>17</v>
      </c>
      <c r="I24" s="67" t="s">
        <v>17</v>
      </c>
      <c r="J24" s="68" t="s">
        <v>17</v>
      </c>
      <c r="L24" s="3"/>
    </row>
    <row r="25" spans="1:12" s="1" customFormat="1" x14ac:dyDescent="0.25">
      <c r="A25" s="69"/>
      <c r="B25" s="70" t="s">
        <v>37</v>
      </c>
      <c r="C25" s="70"/>
      <c r="D25" s="71"/>
      <c r="E25" s="72" t="s">
        <v>19</v>
      </c>
      <c r="F25" s="73"/>
      <c r="G25" s="73"/>
      <c r="H25" s="74">
        <f>H23</f>
        <v>3073209.6910499996</v>
      </c>
      <c r="I25" s="73"/>
      <c r="J25" s="73" t="s">
        <v>17</v>
      </c>
      <c r="L25" s="3"/>
    </row>
    <row r="26" spans="1:12" s="1" customFormat="1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7"/>
      <c r="L26" s="3"/>
    </row>
    <row r="27" spans="1:12" s="1" customFormat="1" x14ac:dyDescent="0.25">
      <c r="A27" s="54"/>
      <c r="B27" s="55"/>
      <c r="C27" s="55"/>
      <c r="D27" s="56" t="s">
        <v>38</v>
      </c>
      <c r="E27" s="57"/>
      <c r="F27" s="58"/>
      <c r="G27" s="58"/>
      <c r="H27" s="59"/>
      <c r="I27" s="58"/>
      <c r="J27" s="60"/>
      <c r="L27" s="3"/>
    </row>
    <row r="28" spans="1:12" s="1" customFormat="1" ht="36" x14ac:dyDescent="0.25">
      <c r="A28" s="61" t="s">
        <v>35</v>
      </c>
      <c r="B28" s="62" t="s">
        <v>39</v>
      </c>
      <c r="C28" s="62"/>
      <c r="D28" s="62" t="s">
        <v>40</v>
      </c>
      <c r="E28" s="63" t="s">
        <v>41</v>
      </c>
      <c r="F28" s="64">
        <v>1.2475000000000001</v>
      </c>
      <c r="G28" s="78">
        <v>153724</v>
      </c>
      <c r="H28" s="66">
        <f>F28*G28</f>
        <v>191770.69</v>
      </c>
      <c r="I28" s="67" t="s">
        <v>17</v>
      </c>
      <c r="J28" s="68" t="s">
        <v>17</v>
      </c>
      <c r="L28" s="3"/>
    </row>
    <row r="29" spans="1:12" s="1" customFormat="1" ht="24" x14ac:dyDescent="0.25">
      <c r="A29" s="61" t="s">
        <v>42</v>
      </c>
      <c r="B29" s="62" t="s">
        <v>43</v>
      </c>
      <c r="C29" s="62"/>
      <c r="D29" s="62" t="s">
        <v>44</v>
      </c>
      <c r="E29" s="63" t="s">
        <v>41</v>
      </c>
      <c r="F29" s="64">
        <v>0.248</v>
      </c>
      <c r="G29" s="78">
        <v>244250</v>
      </c>
      <c r="H29" s="66">
        <f t="shared" ref="H29:H36" si="0">F29*G29</f>
        <v>60574</v>
      </c>
      <c r="I29" s="67" t="s">
        <v>17</v>
      </c>
      <c r="J29" s="68" t="s">
        <v>17</v>
      </c>
      <c r="L29" s="3"/>
    </row>
    <row r="30" spans="1:12" s="1" customFormat="1" ht="24" x14ac:dyDescent="0.25">
      <c r="A30" s="61" t="s">
        <v>45</v>
      </c>
      <c r="B30" s="62" t="s">
        <v>46</v>
      </c>
      <c r="C30" s="62"/>
      <c r="D30" s="62" t="s">
        <v>47</v>
      </c>
      <c r="E30" s="63" t="s">
        <v>41</v>
      </c>
      <c r="F30" s="64">
        <v>0.51424999999999998</v>
      </c>
      <c r="G30" s="78">
        <v>241677</v>
      </c>
      <c r="H30" s="66">
        <f t="shared" si="0"/>
        <v>124282.39724999999</v>
      </c>
      <c r="I30" s="67" t="s">
        <v>17</v>
      </c>
      <c r="J30" s="68" t="s">
        <v>17</v>
      </c>
      <c r="L30" s="3"/>
    </row>
    <row r="31" spans="1:12" s="1" customFormat="1" ht="24" x14ac:dyDescent="0.25">
      <c r="A31" s="61" t="s">
        <v>48</v>
      </c>
      <c r="B31" s="62" t="s">
        <v>49</v>
      </c>
      <c r="C31" s="62"/>
      <c r="D31" s="62" t="s">
        <v>50</v>
      </c>
      <c r="E31" s="63" t="s">
        <v>41</v>
      </c>
      <c r="F31" s="64">
        <v>0.31448999999999999</v>
      </c>
      <c r="G31" s="78">
        <v>2203</v>
      </c>
      <c r="H31" s="66">
        <f t="shared" si="0"/>
        <v>692.82146999999998</v>
      </c>
      <c r="I31" s="67" t="s">
        <v>17</v>
      </c>
      <c r="J31" s="68" t="s">
        <v>17</v>
      </c>
      <c r="L31" s="3"/>
    </row>
    <row r="32" spans="1:12" s="1" customFormat="1" x14ac:dyDescent="0.25">
      <c r="A32" s="61" t="s">
        <v>51</v>
      </c>
      <c r="B32" s="62" t="s">
        <v>52</v>
      </c>
      <c r="C32" s="62"/>
      <c r="D32" s="62" t="s">
        <v>53</v>
      </c>
      <c r="E32" s="63" t="s">
        <v>41</v>
      </c>
      <c r="F32" s="64">
        <v>3.7928999999999999</v>
      </c>
      <c r="G32" s="78">
        <v>2033</v>
      </c>
      <c r="H32" s="66">
        <f t="shared" si="0"/>
        <v>7710.9656999999997</v>
      </c>
      <c r="I32" s="67" t="s">
        <v>17</v>
      </c>
      <c r="J32" s="68" t="s">
        <v>17</v>
      </c>
      <c r="L32" s="3"/>
    </row>
    <row r="33" spans="1:12" s="1" customFormat="1" ht="36" x14ac:dyDescent="0.25">
      <c r="A33" s="61" t="s">
        <v>54</v>
      </c>
      <c r="B33" s="62" t="s">
        <v>55</v>
      </c>
      <c r="C33" s="62"/>
      <c r="D33" s="62" t="s">
        <v>56</v>
      </c>
      <c r="E33" s="63" t="s">
        <v>41</v>
      </c>
      <c r="F33" s="64">
        <v>3.6735000000000002</v>
      </c>
      <c r="G33" s="78">
        <v>3477</v>
      </c>
      <c r="H33" s="66">
        <f t="shared" si="0"/>
        <v>12772.7595</v>
      </c>
      <c r="I33" s="67" t="s">
        <v>17</v>
      </c>
      <c r="J33" s="68" t="s">
        <v>17</v>
      </c>
      <c r="L33" s="3"/>
    </row>
    <row r="34" spans="1:12" s="1" customFormat="1" x14ac:dyDescent="0.25">
      <c r="A34" s="61" t="s">
        <v>57</v>
      </c>
      <c r="B34" s="62" t="s">
        <v>58</v>
      </c>
      <c r="C34" s="62"/>
      <c r="D34" s="62" t="s">
        <v>59</v>
      </c>
      <c r="E34" s="63" t="s">
        <v>41</v>
      </c>
      <c r="F34" s="64">
        <v>1.3152999999999999</v>
      </c>
      <c r="G34" s="78">
        <v>1592</v>
      </c>
      <c r="H34" s="66">
        <f t="shared" si="0"/>
        <v>2093.9575999999997</v>
      </c>
      <c r="I34" s="67" t="s">
        <v>17</v>
      </c>
      <c r="J34" s="68" t="s">
        <v>17</v>
      </c>
      <c r="L34" s="3"/>
    </row>
    <row r="35" spans="1:12" s="1" customFormat="1" ht="24" x14ac:dyDescent="0.25">
      <c r="A35" s="61" t="s">
        <v>60</v>
      </c>
      <c r="B35" s="62" t="s">
        <v>61</v>
      </c>
      <c r="C35" s="62"/>
      <c r="D35" s="62" t="s">
        <v>62</v>
      </c>
      <c r="E35" s="63" t="s">
        <v>41</v>
      </c>
      <c r="F35" s="64">
        <v>0.18107000000000001</v>
      </c>
      <c r="G35" s="78">
        <v>7132</v>
      </c>
      <c r="H35" s="66">
        <f t="shared" si="0"/>
        <v>1291.3912400000002</v>
      </c>
      <c r="I35" s="67" t="s">
        <v>17</v>
      </c>
      <c r="J35" s="68" t="s">
        <v>17</v>
      </c>
      <c r="L35" s="3"/>
    </row>
    <row r="36" spans="1:12" s="1" customFormat="1" x14ac:dyDescent="0.25">
      <c r="A36" s="61" t="s">
        <v>63</v>
      </c>
      <c r="B36" s="62" t="s">
        <v>64</v>
      </c>
      <c r="C36" s="62"/>
      <c r="D36" s="62" t="s">
        <v>65</v>
      </c>
      <c r="E36" s="63" t="s">
        <v>41</v>
      </c>
      <c r="F36" s="64">
        <v>0.75353000000000003</v>
      </c>
      <c r="G36" s="78">
        <v>107615</v>
      </c>
      <c r="H36" s="66">
        <f t="shared" si="0"/>
        <v>81091.130950000006</v>
      </c>
      <c r="I36" s="67" t="s">
        <v>17</v>
      </c>
      <c r="J36" s="68" t="s">
        <v>17</v>
      </c>
      <c r="L36" s="3"/>
    </row>
    <row r="37" spans="1:12" s="1" customFormat="1" x14ac:dyDescent="0.25">
      <c r="A37" s="69"/>
      <c r="B37" s="70" t="s">
        <v>66</v>
      </c>
      <c r="C37" s="70"/>
      <c r="D37" s="71"/>
      <c r="E37" s="72" t="s">
        <v>19</v>
      </c>
      <c r="F37" s="73"/>
      <c r="G37" s="73"/>
      <c r="H37" s="74">
        <f>SUM(H28:H36)</f>
        <v>482280.11371000006</v>
      </c>
      <c r="I37" s="73"/>
      <c r="J37" s="73" t="s">
        <v>17</v>
      </c>
      <c r="L37" s="3"/>
    </row>
    <row r="38" spans="1:12" s="1" customFormat="1" x14ac:dyDescent="0.25">
      <c r="A38" s="69"/>
      <c r="B38" s="70" t="s">
        <v>67</v>
      </c>
      <c r="C38" s="70"/>
      <c r="D38" s="71"/>
      <c r="E38" s="72" t="s">
        <v>19</v>
      </c>
      <c r="F38" s="73"/>
      <c r="G38" s="73"/>
      <c r="H38" s="74" t="s">
        <v>17</v>
      </c>
      <c r="I38" s="73"/>
      <c r="J38" s="73" t="s">
        <v>17</v>
      </c>
      <c r="L38" s="3"/>
    </row>
    <row r="39" spans="1:12" s="1" customForma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7"/>
      <c r="L39" s="3"/>
    </row>
    <row r="40" spans="1:12" s="1" customFormat="1" x14ac:dyDescent="0.25">
      <c r="A40" s="54"/>
      <c r="B40" s="55"/>
      <c r="C40" s="55"/>
      <c r="D40" s="56" t="s">
        <v>68</v>
      </c>
      <c r="E40" s="57"/>
      <c r="F40" s="58"/>
      <c r="G40" s="58"/>
      <c r="H40" s="59"/>
      <c r="I40" s="58"/>
      <c r="J40" s="60"/>
      <c r="L40" s="3"/>
    </row>
    <row r="41" spans="1:12" s="1" customFormat="1" x14ac:dyDescent="0.25">
      <c r="A41" s="61" t="s">
        <v>69</v>
      </c>
      <c r="B41" s="62" t="s">
        <v>70</v>
      </c>
      <c r="C41" s="62"/>
      <c r="D41" s="62" t="s">
        <v>71</v>
      </c>
      <c r="E41" s="63" t="s">
        <v>72</v>
      </c>
      <c r="F41" s="64">
        <v>2.5375000000000001</v>
      </c>
      <c r="G41" s="79">
        <v>485994</v>
      </c>
      <c r="H41" s="66">
        <f t="shared" ref="H41:H54" si="1">F41*G41</f>
        <v>1233209.7750000001</v>
      </c>
      <c r="I41" s="67" t="s">
        <v>17</v>
      </c>
      <c r="J41" s="68" t="s">
        <v>17</v>
      </c>
      <c r="L41" s="3"/>
    </row>
    <row r="42" spans="1:12" s="1" customFormat="1" ht="24" x14ac:dyDescent="0.25">
      <c r="A42" s="61" t="s">
        <v>73</v>
      </c>
      <c r="B42" s="62" t="s">
        <v>74</v>
      </c>
      <c r="C42" s="62"/>
      <c r="D42" s="62" t="s">
        <v>75</v>
      </c>
      <c r="E42" s="63" t="s">
        <v>72</v>
      </c>
      <c r="F42" s="64">
        <v>0.14249999999999999</v>
      </c>
      <c r="G42" s="79">
        <v>416964</v>
      </c>
      <c r="H42" s="66">
        <f t="shared" si="1"/>
        <v>59417.369999999995</v>
      </c>
      <c r="I42" s="67" t="s">
        <v>17</v>
      </c>
      <c r="J42" s="68" t="s">
        <v>17</v>
      </c>
      <c r="L42" s="3"/>
    </row>
    <row r="43" spans="1:12" s="1" customFormat="1" x14ac:dyDescent="0.25">
      <c r="A43" s="61" t="s">
        <v>76</v>
      </c>
      <c r="B43" s="62" t="s">
        <v>77</v>
      </c>
      <c r="C43" s="62"/>
      <c r="D43" s="62" t="s">
        <v>78</v>
      </c>
      <c r="E43" s="63" t="s">
        <v>72</v>
      </c>
      <c r="F43" s="64">
        <v>4.375</v>
      </c>
      <c r="G43" s="79">
        <v>1000</v>
      </c>
      <c r="H43" s="66">
        <f t="shared" si="1"/>
        <v>4375</v>
      </c>
      <c r="I43" s="67" t="s">
        <v>17</v>
      </c>
      <c r="J43" s="68" t="s">
        <v>17</v>
      </c>
      <c r="K43" s="80"/>
      <c r="L43" s="3"/>
    </row>
    <row r="44" spans="1:12" s="1" customFormat="1" x14ac:dyDescent="0.25">
      <c r="A44" s="61" t="s">
        <v>79</v>
      </c>
      <c r="B44" s="62" t="s">
        <v>80</v>
      </c>
      <c r="C44" s="62"/>
      <c r="D44" s="62" t="s">
        <v>81</v>
      </c>
      <c r="E44" s="63" t="s">
        <v>82</v>
      </c>
      <c r="F44" s="64">
        <v>1.2999999999999999E-2</v>
      </c>
      <c r="G44" s="79">
        <v>9652145</v>
      </c>
      <c r="H44" s="66">
        <f t="shared" si="1"/>
        <v>125477.88499999999</v>
      </c>
      <c r="I44" s="67" t="s">
        <v>17</v>
      </c>
      <c r="J44" s="68" t="s">
        <v>17</v>
      </c>
      <c r="L44" s="3"/>
    </row>
    <row r="45" spans="1:12" s="1" customFormat="1" ht="24" x14ac:dyDescent="0.25">
      <c r="A45" s="61" t="s">
        <v>83</v>
      </c>
      <c r="B45" s="62" t="s">
        <v>84</v>
      </c>
      <c r="C45" s="62"/>
      <c r="D45" s="62" t="s">
        <v>85</v>
      </c>
      <c r="E45" s="63" t="s">
        <v>82</v>
      </c>
      <c r="F45" s="64">
        <v>2.2872E-2</v>
      </c>
      <c r="G45" s="79">
        <v>10500000</v>
      </c>
      <c r="H45" s="66">
        <f t="shared" si="1"/>
        <v>240156</v>
      </c>
      <c r="I45" s="67" t="s">
        <v>17</v>
      </c>
      <c r="J45" s="68" t="s">
        <v>17</v>
      </c>
      <c r="L45" s="3"/>
    </row>
    <row r="46" spans="1:12" s="1" customFormat="1" x14ac:dyDescent="0.25">
      <c r="A46" s="61" t="s">
        <v>86</v>
      </c>
      <c r="B46" s="62" t="s">
        <v>87</v>
      </c>
      <c r="C46" s="62"/>
      <c r="D46" s="62" t="s">
        <v>88</v>
      </c>
      <c r="E46" s="63" t="s">
        <v>82</v>
      </c>
      <c r="F46" s="64">
        <v>7.6239999999999997E-3</v>
      </c>
      <c r="G46" s="79">
        <v>12000000</v>
      </c>
      <c r="H46" s="66">
        <f t="shared" si="1"/>
        <v>91488</v>
      </c>
      <c r="I46" s="67" t="s">
        <v>17</v>
      </c>
      <c r="J46" s="68" t="s">
        <v>17</v>
      </c>
      <c r="L46" s="3"/>
    </row>
    <row r="47" spans="1:12" s="1" customFormat="1" x14ac:dyDescent="0.25">
      <c r="A47" s="61" t="s">
        <v>89</v>
      </c>
      <c r="B47" s="62" t="s">
        <v>90</v>
      </c>
      <c r="C47" s="62"/>
      <c r="D47" s="62" t="s">
        <v>91</v>
      </c>
      <c r="E47" s="63" t="s">
        <v>82</v>
      </c>
      <c r="F47" s="64">
        <v>1.6249999999999999E-3</v>
      </c>
      <c r="G47" s="79">
        <v>9108927</v>
      </c>
      <c r="H47" s="66">
        <f t="shared" si="1"/>
        <v>14802.006374999999</v>
      </c>
      <c r="I47" s="67" t="s">
        <v>17</v>
      </c>
      <c r="J47" s="68" t="s">
        <v>17</v>
      </c>
      <c r="L47" s="3"/>
    </row>
    <row r="48" spans="1:12" s="1" customFormat="1" x14ac:dyDescent="0.25">
      <c r="A48" s="61" t="s">
        <v>92</v>
      </c>
      <c r="B48" s="62" t="s">
        <v>93</v>
      </c>
      <c r="C48" s="62"/>
      <c r="D48" s="62" t="s">
        <v>94</v>
      </c>
      <c r="E48" s="63" t="s">
        <v>82</v>
      </c>
      <c r="F48" s="64">
        <v>6.6710000000000001E-4</v>
      </c>
      <c r="G48" s="79">
        <v>11250000</v>
      </c>
      <c r="H48" s="66">
        <f t="shared" si="1"/>
        <v>7504.875</v>
      </c>
      <c r="I48" s="67" t="s">
        <v>17</v>
      </c>
      <c r="J48" s="68" t="s">
        <v>17</v>
      </c>
      <c r="L48" s="3"/>
    </row>
    <row r="49" spans="1:12" s="1" customFormat="1" ht="36" x14ac:dyDescent="0.25">
      <c r="A49" s="61" t="s">
        <v>95</v>
      </c>
      <c r="B49" s="62" t="s">
        <v>96</v>
      </c>
      <c r="C49" s="62"/>
      <c r="D49" s="62" t="s">
        <v>97</v>
      </c>
      <c r="E49" s="63" t="s">
        <v>72</v>
      </c>
      <c r="F49" s="64">
        <v>7.6499999999999999E-2</v>
      </c>
      <c r="G49" s="81">
        <v>3660714</v>
      </c>
      <c r="H49" s="66">
        <f t="shared" si="1"/>
        <v>280044.62099999998</v>
      </c>
      <c r="I49" s="67" t="s">
        <v>17</v>
      </c>
      <c r="J49" s="68" t="s">
        <v>17</v>
      </c>
      <c r="L49" s="3"/>
    </row>
    <row r="50" spans="1:12" s="1" customFormat="1" ht="36" x14ac:dyDescent="0.25">
      <c r="A50" s="61" t="s">
        <v>98</v>
      </c>
      <c r="B50" s="62" t="s">
        <v>99</v>
      </c>
      <c r="C50" s="62"/>
      <c r="D50" s="62" t="s">
        <v>100</v>
      </c>
      <c r="E50" s="63" t="s">
        <v>72</v>
      </c>
      <c r="F50" s="64">
        <v>0.17849999999999999</v>
      </c>
      <c r="G50" s="81">
        <v>3660714</v>
      </c>
      <c r="H50" s="66">
        <f t="shared" si="1"/>
        <v>653437.44900000002</v>
      </c>
      <c r="I50" s="67" t="s">
        <v>17</v>
      </c>
      <c r="J50" s="68" t="s">
        <v>17</v>
      </c>
      <c r="L50" s="3"/>
    </row>
    <row r="51" spans="1:12" s="1" customFormat="1" x14ac:dyDescent="0.25">
      <c r="A51" s="61" t="s">
        <v>101</v>
      </c>
      <c r="B51" s="62" t="s">
        <v>102</v>
      </c>
      <c r="C51" s="62"/>
      <c r="D51" s="62" t="s">
        <v>103</v>
      </c>
      <c r="E51" s="63" t="s">
        <v>104</v>
      </c>
      <c r="F51" s="64">
        <v>0.5675</v>
      </c>
      <c r="G51" s="79">
        <v>105000</v>
      </c>
      <c r="H51" s="66">
        <f t="shared" si="1"/>
        <v>59587.5</v>
      </c>
      <c r="I51" s="67" t="s">
        <v>17</v>
      </c>
      <c r="J51" s="68" t="s">
        <v>17</v>
      </c>
      <c r="L51" s="3"/>
    </row>
    <row r="52" spans="1:12" s="1" customFormat="1" x14ac:dyDescent="0.25">
      <c r="A52" s="61" t="s">
        <v>105</v>
      </c>
      <c r="B52" s="62" t="s">
        <v>106</v>
      </c>
      <c r="C52" s="62"/>
      <c r="D52" s="62" t="s">
        <v>107</v>
      </c>
      <c r="E52" s="63" t="s">
        <v>108</v>
      </c>
      <c r="F52" s="64">
        <v>6.1944999999999997</v>
      </c>
      <c r="G52" s="79">
        <v>15000</v>
      </c>
      <c r="H52" s="66">
        <f t="shared" si="1"/>
        <v>92917.5</v>
      </c>
      <c r="I52" s="67" t="s">
        <v>17</v>
      </c>
      <c r="J52" s="68" t="s">
        <v>17</v>
      </c>
      <c r="L52" s="3"/>
    </row>
    <row r="53" spans="1:12" s="1" customFormat="1" x14ac:dyDescent="0.25">
      <c r="A53" s="61" t="s">
        <v>109</v>
      </c>
      <c r="B53" s="62" t="s">
        <v>110</v>
      </c>
      <c r="C53" s="62"/>
      <c r="D53" s="62" t="s">
        <v>111</v>
      </c>
      <c r="E53" s="63" t="s">
        <v>82</v>
      </c>
      <c r="F53" s="64">
        <v>0.95299999999999996</v>
      </c>
      <c r="G53" s="79">
        <v>12500000</v>
      </c>
      <c r="H53" s="66">
        <f t="shared" si="1"/>
        <v>11912500</v>
      </c>
      <c r="I53" s="67" t="s">
        <v>17</v>
      </c>
      <c r="J53" s="68" t="s">
        <v>17</v>
      </c>
      <c r="L53" s="3"/>
    </row>
    <row r="54" spans="1:12" s="1" customFormat="1" x14ac:dyDescent="0.25">
      <c r="A54" s="61" t="s">
        <v>112</v>
      </c>
      <c r="B54" s="62" t="s">
        <v>113</v>
      </c>
      <c r="C54" s="62"/>
      <c r="D54" s="62" t="s">
        <v>114</v>
      </c>
      <c r="E54" s="63" t="s">
        <v>115</v>
      </c>
      <c r="F54" s="64">
        <v>5.93</v>
      </c>
      <c r="G54" s="81">
        <v>45000</v>
      </c>
      <c r="H54" s="66">
        <f t="shared" si="1"/>
        <v>266850</v>
      </c>
      <c r="I54" s="67" t="s">
        <v>17</v>
      </c>
      <c r="J54" s="68" t="s">
        <v>17</v>
      </c>
      <c r="L54" s="3"/>
    </row>
    <row r="55" spans="1:12" s="1" customFormat="1" x14ac:dyDescent="0.25">
      <c r="A55" s="69"/>
      <c r="B55" s="70" t="s">
        <v>116</v>
      </c>
      <c r="C55" s="70"/>
      <c r="D55" s="71"/>
      <c r="E55" s="72" t="s">
        <v>19</v>
      </c>
      <c r="F55" s="73"/>
      <c r="G55" s="73"/>
      <c r="H55" s="74">
        <f>SUM(H41:H54)</f>
        <v>15041767.981375001</v>
      </c>
      <c r="I55" s="73"/>
      <c r="J55" s="73" t="s">
        <v>17</v>
      </c>
      <c r="L55" s="3">
        <f>H55</f>
        <v>15041767.981375001</v>
      </c>
    </row>
    <row r="56" spans="1:12" s="1" customFormat="1" x14ac:dyDescent="0.25">
      <c r="A56" s="75"/>
      <c r="B56" s="76"/>
      <c r="C56" s="76"/>
      <c r="D56" s="76"/>
      <c r="E56" s="76"/>
      <c r="F56" s="76"/>
      <c r="G56" s="76"/>
      <c r="H56" s="76"/>
      <c r="I56" s="76"/>
      <c r="J56" s="77"/>
      <c r="L56" s="3">
        <f>L55-H41-H42-H43</f>
        <v>13744765.836375002</v>
      </c>
    </row>
    <row r="57" spans="1:12" s="1" customFormat="1" x14ac:dyDescent="0.25">
      <c r="A57" s="69"/>
      <c r="B57" s="70" t="s">
        <v>117</v>
      </c>
      <c r="C57" s="70"/>
      <c r="D57" s="71"/>
      <c r="E57" s="72" t="s">
        <v>19</v>
      </c>
      <c r="F57" s="73"/>
      <c r="G57" s="73"/>
      <c r="H57" s="74">
        <f>H25+H37+H55</f>
        <v>18597257.786135003</v>
      </c>
      <c r="I57" s="73"/>
      <c r="J57" s="73" t="s">
        <v>17</v>
      </c>
      <c r="L57" s="3">
        <f>L56*2%</f>
        <v>274895.31672750006</v>
      </c>
    </row>
    <row r="58" spans="1:12" s="1" customFormat="1" x14ac:dyDescent="0.25">
      <c r="A58" s="82"/>
      <c r="B58" s="83" t="s">
        <v>118</v>
      </c>
      <c r="C58" s="83"/>
      <c r="D58" s="84"/>
      <c r="E58" s="85" t="s">
        <v>19</v>
      </c>
      <c r="F58" s="86"/>
      <c r="G58" s="86"/>
      <c r="H58" s="87" t="s">
        <v>17</v>
      </c>
      <c r="I58" s="86"/>
      <c r="J58" s="86" t="s">
        <v>17</v>
      </c>
      <c r="L58" s="3"/>
    </row>
    <row r="59" spans="1:12" s="1" customFormat="1" x14ac:dyDescent="0.25">
      <c r="A59" s="69"/>
      <c r="B59" s="70" t="s">
        <v>119</v>
      </c>
      <c r="C59" s="70"/>
      <c r="D59" s="71"/>
      <c r="E59" s="72" t="s">
        <v>19</v>
      </c>
      <c r="F59" s="73"/>
      <c r="G59" s="73"/>
      <c r="H59" s="74">
        <f>H57</f>
        <v>18597257.786135003</v>
      </c>
      <c r="I59" s="73"/>
      <c r="J59" s="73" t="s">
        <v>17</v>
      </c>
      <c r="L59" s="3"/>
    </row>
    <row r="60" spans="1:12" s="1" customFormat="1" x14ac:dyDescent="0.25">
      <c r="A60" s="82"/>
      <c r="B60" s="83" t="s">
        <v>120</v>
      </c>
      <c r="C60" s="83"/>
      <c r="D60" s="84"/>
      <c r="E60" s="85" t="s">
        <v>19</v>
      </c>
      <c r="F60" s="86"/>
      <c r="G60" s="86"/>
      <c r="H60" s="87" t="s">
        <v>17</v>
      </c>
      <c r="I60" s="86"/>
      <c r="J60" s="86" t="s">
        <v>17</v>
      </c>
      <c r="L60" s="3"/>
    </row>
    <row r="61" spans="1:12" s="1" customFormat="1" x14ac:dyDescent="0.25">
      <c r="A61" s="69"/>
      <c r="B61" s="70" t="s">
        <v>121</v>
      </c>
      <c r="C61" s="70"/>
      <c r="D61" s="71"/>
      <c r="E61" s="72" t="s">
        <v>19</v>
      </c>
      <c r="F61" s="73"/>
      <c r="G61" s="73"/>
      <c r="H61" s="88">
        <f>H59</f>
        <v>18597257.786135003</v>
      </c>
      <c r="I61" s="73"/>
      <c r="J61" s="73" t="s">
        <v>17</v>
      </c>
      <c r="L61" s="3"/>
    </row>
    <row r="62" spans="1:12" s="1" customFormat="1" x14ac:dyDescent="0.25">
      <c r="A62" s="89"/>
      <c r="B62" s="89"/>
      <c r="C62" s="89"/>
      <c r="D62" s="89"/>
      <c r="E62" s="89"/>
      <c r="F62" s="89"/>
      <c r="G62" s="89"/>
      <c r="H62" s="89"/>
      <c r="I62" s="89"/>
      <c r="J62" s="89"/>
      <c r="L62" s="3"/>
    </row>
    <row r="63" spans="1:12" s="1" customFormat="1" x14ac:dyDescent="0.25">
      <c r="A63" s="90"/>
      <c r="B63" s="91" t="s">
        <v>122</v>
      </c>
      <c r="C63" s="91"/>
      <c r="D63" s="91"/>
      <c r="E63" s="91"/>
      <c r="F63" s="91" t="s">
        <v>123</v>
      </c>
      <c r="G63" s="91"/>
      <c r="H63" s="91"/>
      <c r="I63" s="91"/>
      <c r="J63" s="91"/>
      <c r="L63" s="3"/>
    </row>
  </sheetData>
  <mergeCells count="38">
    <mergeCell ref="B60:D60"/>
    <mergeCell ref="B61:D61"/>
    <mergeCell ref="A62:J62"/>
    <mergeCell ref="B63:E63"/>
    <mergeCell ref="F63:J63"/>
    <mergeCell ref="A39:J39"/>
    <mergeCell ref="B55:D55"/>
    <mergeCell ref="A56:J56"/>
    <mergeCell ref="B57:D57"/>
    <mergeCell ref="B58:D58"/>
    <mergeCell ref="B59:D59"/>
    <mergeCell ref="A20:J20"/>
    <mergeCell ref="A21:J21"/>
    <mergeCell ref="B25:D25"/>
    <mergeCell ref="A26:J26"/>
    <mergeCell ref="B37:D37"/>
    <mergeCell ref="B38:D38"/>
    <mergeCell ref="A15:I15"/>
    <mergeCell ref="A16:A18"/>
    <mergeCell ref="B16:B18"/>
    <mergeCell ref="D16:D18"/>
    <mergeCell ref="E16:E18"/>
    <mergeCell ref="F16:F18"/>
    <mergeCell ref="G16:J16"/>
    <mergeCell ref="G17:H17"/>
    <mergeCell ref="I17:J17"/>
    <mergeCell ref="B8:I8"/>
    <mergeCell ref="B9:I9"/>
    <mergeCell ref="D11:J11"/>
    <mergeCell ref="G12:H12"/>
    <mergeCell ref="I12:J12"/>
    <mergeCell ref="A13:D13"/>
    <mergeCell ref="B2:I2"/>
    <mergeCell ref="B3:I3"/>
    <mergeCell ref="F5:I5"/>
    <mergeCell ref="B6:I6"/>
    <mergeCell ref="G7:H7"/>
    <mergeCell ref="I7:J7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2026.4)&amp;Ц&amp;С&amp;П202611450</oddHeader>
    <oddFooter>&amp;ЦСтраниц - &amp;К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202611450_БР</vt:lpstr>
      <vt:lpstr>'202611450_БР'!Заголовки_для_печати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2026-10-23T06:27:44Z</dcterms:created>
  <dcterms:modified xsi:type="dcterms:W3CDTF">2026-10-23T06:27:44Z</dcterms:modified>
</cp:coreProperties>
</file>