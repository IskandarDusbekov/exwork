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"/>
    </mc:Choice>
  </mc:AlternateContent>
  <xr:revisionPtr revIDLastSave="0" documentId="8_{ABC50523-D2F3-4CDD-8CA4-FBB435A1C136}" xr6:coauthVersionLast="47" xr6:coauthVersionMax="47" xr10:uidLastSave="{00000000-0000-0000-0000-000000000000}"/>
  <bookViews>
    <workbookView xWindow="27270" yWindow="705" windowWidth="23700" windowHeight="19605" xr2:uid="{00000000-000D-0000-FFFF-FFFF00000000}"/>
  </bookViews>
  <sheets>
    <sheet name="202611450_БВ" sheetId="1" r:id="rId1"/>
    <sheet name="LOG" sheetId="2" r:id="rId2"/>
  </sheets>
  <definedNames>
    <definedName name="_xlnm._FilterDatabase" localSheetId="1" hidden="1">LOG!$A$1:$K$1</definedName>
    <definedName name="_xlnm.Print_Titles" localSheetId="0">'202611450_БВ'!$14:$14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" i="1" l="1"/>
  <c r="P45" i="1"/>
  <c r="O45" i="1"/>
  <c r="N45" i="1"/>
  <c r="M45" i="1"/>
  <c r="H52" i="1" s="1"/>
  <c r="H53" i="1" s="1"/>
  <c r="L45" i="1"/>
  <c r="H50" i="1" s="1"/>
  <c r="H51" i="1" s="1"/>
  <c r="H44" i="1"/>
  <c r="K44" i="1" s="1"/>
  <c r="H43" i="1"/>
  <c r="K43" i="1" s="1"/>
  <c r="H42" i="1"/>
  <c r="K42" i="1" s="1"/>
  <c r="H41" i="1"/>
  <c r="K41" i="1" s="1"/>
  <c r="H40" i="1"/>
  <c r="K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I34" i="1" s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H26" i="1"/>
  <c r="K26" i="1" s="1"/>
  <c r="H25" i="1"/>
  <c r="K25" i="1" s="1"/>
  <c r="H24" i="1"/>
  <c r="K24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I16" i="1" s="1"/>
  <c r="H15" i="1"/>
  <c r="K15" i="1" s="1"/>
  <c r="K45" i="1" l="1"/>
  <c r="H48" i="1" s="1"/>
  <c r="H49" i="1" s="1"/>
  <c r="I45" i="1"/>
  <c r="H46" i="1" s="1"/>
  <c r="J45" i="1"/>
  <c r="H47" i="1" s="1"/>
  <c r="H45" i="1"/>
  <c r="H54" i="1" l="1"/>
  <c r="H55" i="1" s="1"/>
  <c r="H56" i="1" s="1"/>
  <c r="H57" i="1" s="1"/>
  <c r="H58" i="1" s="1"/>
</calcChain>
</file>

<file path=xl/sharedStrings.xml><?xml version="1.0" encoding="utf-8"?>
<sst xmlns="http://schemas.openxmlformats.org/spreadsheetml/2006/main" count="312" uniqueCount="170">
  <si>
    <t>Форма N 5</t>
  </si>
  <si>
    <t>IL "URGUT TUMANIDAGI YANGI-DARGOM KANALINING PK52+00 DAN PK102+00 GACHA BOLGAN QISMINI REKONSTRUKSIYA QILISH"</t>
  </si>
  <si>
    <t>(наименование стройки)</t>
  </si>
  <si>
    <t xml:space="preserve">ЛОКАЛЬНАЯ РЕСУРСНАЯ ВЕДОМОСТЬ  № </t>
  </si>
  <si>
    <t>1-6</t>
  </si>
  <si>
    <t>(локальная ресурсная смета)</t>
  </si>
  <si>
    <t/>
  </si>
  <si>
    <t xml:space="preserve">на </t>
  </si>
  <si>
    <t>, МОСТ НА ПК 75+34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</si>
  <si>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</si>
  <si>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</si>
  <si>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</si>
  <si>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</si>
  <si>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</si>
  <si>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</si>
  <si>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</si>
  <si>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</si>
  <si>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</si>
  <si>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1</t>
  </si>
  <si>
    <t>Е3704-001-07</t>
  </si>
  <si>
    <t>УСТРОЙСТВО ПРОЛЕТНЫХ СТРОЕНИЙ СЛУЖЕБНЫХ МОСТИКОВ</t>
  </si>
  <si>
    <t>100М3</t>
  </si>
  <si>
    <t>1.1</t>
  </si>
  <si>
    <t>ЗАТРАТЫ ТРУДА РАБОЧИХ-СТРОИТЕЛЕЙ</t>
  </si>
  <si>
    <t>ЧЕЛ.-Ч</t>
  </si>
  <si>
    <t>1.2</t>
  </si>
  <si>
    <t>3</t>
  </si>
  <si>
    <t>ЗАТРАТЫ ТРУДА МАШИНИСТОВ</t>
  </si>
  <si>
    <t>1.3</t>
  </si>
  <si>
    <t>660</t>
  </si>
  <si>
    <t>КОМПРЕССОРЫ ПЕРЕДВИЖНЫЕ С ДВИГАТЕЛЕМ ВНУТРЕННЕГО СГОРАНИЯ ДАВЛЕНИЕМ ДО 686 КПА (7 АТМ.) 5 М3/МИН</t>
  </si>
  <si>
    <t>МАШ.-Ч</t>
  </si>
  <si>
    <t>1.4</t>
  </si>
  <si>
    <t>762</t>
  </si>
  <si>
    <t>КРАНЫ НА АВТОМОБИЛЬНОМ ХОДУ ПРИ РАБОТЕ НА ДРУГИХ ВИДАХ СТРОИТЕЛЬСТВА 10 Т</t>
  </si>
  <si>
    <t>1.5</t>
  </si>
  <si>
    <t>783</t>
  </si>
  <si>
    <t>КРАНЫ НА ГУСЕНИЧНОМ ХОДУ ПРИ РАБОТЕ НА ДРУГИХ ВИДАХ СТРОИТЕЛЬСТВА ДО 16 Т</t>
  </si>
  <si>
    <t>1.6</t>
  </si>
  <si>
    <t>1199</t>
  </si>
  <si>
    <t>МОЛОТКИ ПРИ РАБОТЕ ОТ ПЕРЕДВИЖНЫХ КОМПРЕССОРНЫХ СТАНЦИЙ ОТБОЙНЫЕ ПНЕВМАТИЧЕСКИЕ</t>
  </si>
  <si>
    <t>1.7</t>
  </si>
  <si>
    <t>1760</t>
  </si>
  <si>
    <t>ВИБРАТОРЫ ГЛУБИННЫЕ ПНЕВМАТИЧЕСКИЕ</t>
  </si>
  <si>
    <t>1.8</t>
  </si>
  <si>
    <t>2509</t>
  </si>
  <si>
    <t>АВТОМОБИЛИ БОРТОВЫЕ ГРУЗОПОДЪЕМНОСТЬЮ ДО 5 Т</t>
  </si>
  <si>
    <t>1.9</t>
  </si>
  <si>
    <t>6322</t>
  </si>
  <si>
    <t>БЕТОН ТЯЖЕЛЫЙ КЛАССА В15 /М-200/ ФРАКЦИИ 5-20 ММ</t>
  </si>
  <si>
    <t>М3</t>
  </si>
  <si>
    <t>1.10</t>
  </si>
  <si>
    <t>22453</t>
  </si>
  <si>
    <t>РАСТВОР ГОТОВЫЙ КЛАДОЧНЫЙ ЦЕМЕНТНЫЙ, МАРКА: 100</t>
  </si>
  <si>
    <t>1.11</t>
  </si>
  <si>
    <t>23469</t>
  </si>
  <si>
    <t>ВОДА</t>
  </si>
  <si>
    <t>1.12</t>
  </si>
  <si>
    <t>30407</t>
  </si>
  <si>
    <t>ГВОЗДИ СТРОИТЕЛЬНЫЕ</t>
  </si>
  <si>
    <t>Т</t>
  </si>
  <si>
    <t>1.13</t>
  </si>
  <si>
    <t>32202</t>
  </si>
  <si>
    <t>МАСЛО ДИЗЕЛЬНОЕ МОТОРНОЕ М-10ДМ</t>
  </si>
  <si>
    <t>1.14</t>
  </si>
  <si>
    <t>36058</t>
  </si>
  <si>
    <t>ПИЛОМАТЕРИАЛЫ ХВОЙНЫХ ПОРОД ДОСКИ ОБРЕЗНЫЕ ДЛИНОЙ 4-6,5 М, ШИРИНОЙ 75-150 ММ, ТОЛЩИНОЙ 32-40 ММ IV СОРТА</t>
  </si>
  <si>
    <t>1.15</t>
  </si>
  <si>
    <t>36061</t>
  </si>
  <si>
    <t>ДОСКИ ОБРЕЗНЫЕ ХВОЙНЫХ ПОРОД ДЛИНОЙ 4-6,5 М, ШИРИНОЙ 75-150 ММ, ТОЛЩИНОЙ 44 ММ И БОЛЕЕ, III СОРТА</t>
  </si>
  <si>
    <t>1.16</t>
  </si>
  <si>
    <t>44629</t>
  </si>
  <si>
    <t>ТКАНЬ МЕШОЧНАЯ</t>
  </si>
  <si>
    <t>10М2</t>
  </si>
  <si>
    <t>1.17</t>
  </si>
  <si>
    <t>51619</t>
  </si>
  <si>
    <t>ЩИТЫ ИЗ ДОСОК ТОЛЩИНОЙ 25 ММ</t>
  </si>
  <si>
    <t>М2</t>
  </si>
  <si>
    <t>2</t>
  </si>
  <si>
    <t>Е3008-001-01</t>
  </si>
  <si>
    <t>УСТАНОВКА СТАЛЬНЫХ СВАРНЫХ ПЕРИЛ НА МОСТАХ И ПУТЕПРОВОДАХ</t>
  </si>
  <si>
    <t>2.1</t>
  </si>
  <si>
    <t>2.2</t>
  </si>
  <si>
    <t>2.3</t>
  </si>
  <si>
    <t>969</t>
  </si>
  <si>
    <t>ЛЕБЕДКИ РУЧНЫЕ И РЫЧАЖНЫЕ, ТЯГОВЫМ УСИЛИЕМ 31,39 (3,2) КН (Т)</t>
  </si>
  <si>
    <t>2.4</t>
  </si>
  <si>
    <t>1147</t>
  </si>
  <si>
    <t>МАШИНЫ ШЛИФОВАЛЬНЫЕ ЭЛЕКТРИЧЕСКИЕ</t>
  </si>
  <si>
    <t>2.5</t>
  </si>
  <si>
    <t>2016</t>
  </si>
  <si>
    <t>УСТАНОВКИ ДЛЯ СВАРКИ РУЧНОЙ ДУГОВОЙ (ПОСТОЯННОГО ТОКА)</t>
  </si>
  <si>
    <t>2.6</t>
  </si>
  <si>
    <t>2.7</t>
  </si>
  <si>
    <t>30956</t>
  </si>
  <si>
    <t>КРАСКИ МАСЛЯНЫЕ ЗЕМЛЯНЫЕ МА-0115 МУМИЯ, СУРИК ЖЕЛЕЗНЫЙ</t>
  </si>
  <si>
    <t>2.8</t>
  </si>
  <si>
    <t>31650</t>
  </si>
  <si>
    <t>ОЛИФА КОМБИНИРОВАННАЯ К-2</t>
  </si>
  <si>
    <t>2.9</t>
  </si>
  <si>
    <t>35310</t>
  </si>
  <si>
    <t>ЭЛЕКТРОДЫ ДИАМЕТРОМ 4 ММ Э42</t>
  </si>
  <si>
    <t>2.10</t>
  </si>
  <si>
    <t>44897</t>
  </si>
  <si>
    <t>ШЛИФКРУГИ</t>
  </si>
  <si>
    <t>ШТ</t>
  </si>
  <si>
    <t>2.11</t>
  </si>
  <si>
    <t>50785</t>
  </si>
  <si>
    <t>КОНСТРУКЦИИ СТАЛЬНЫЕ: ПЕРИЛ</t>
  </si>
  <si>
    <t>Зарплата</t>
  </si>
  <si>
    <t>Эксплуата-ция машин и механизм</t>
  </si>
  <si>
    <t>Строитель-ные материалы и конструкции</t>
  </si>
  <si>
    <t>Трансп. услуги из мат.</t>
  </si>
  <si>
    <t>Кабельно-проводни-ковый продукции</t>
  </si>
  <si>
    <t>Трансп. услуги кабельн. прод.</t>
  </si>
  <si>
    <t>Оборудова ния</t>
  </si>
  <si>
    <t>Трансп. услуги обор.</t>
  </si>
  <si>
    <t>Всего прямых  затрат</t>
  </si>
  <si>
    <t>Прочие затраты подрядчикa</t>
  </si>
  <si>
    <t>Затраты на страхов. объекта</t>
  </si>
  <si>
    <t>Всего стоимость без НДС</t>
  </si>
  <si>
    <t>Всего с НДС      12 %</t>
  </si>
  <si>
    <t>row_index</t>
  </si>
  <si>
    <t>local_name_raw</t>
  </si>
  <si>
    <t>local_unit_raw</t>
  </si>
  <si>
    <t>status</t>
  </si>
  <si>
    <t>picked_unit</t>
  </si>
  <si>
    <t>picked_name</t>
  </si>
  <si>
    <t>best_score</t>
  </si>
  <si>
    <t>second_name</t>
  </si>
  <si>
    <t>second_score</t>
  </si>
  <si>
    <t>written</t>
  </si>
  <si>
    <t>note</t>
  </si>
  <si>
    <t>WORK_HEADER</t>
  </si>
  <si>
    <t>иш сарлавҳаси: остидаги ресурслар нархланади</t>
  </si>
  <si>
    <t>EXACT</t>
  </si>
  <si>
    <t>челч</t>
  </si>
  <si>
    <t>затраты труда рабочих-строителей</t>
  </si>
  <si>
    <t>MACHINIST</t>
  </si>
  <si>
    <t>затраты труда машинистов</t>
  </si>
  <si>
    <t>машинист меҳнати машина нархи ичида</t>
  </si>
  <si>
    <t>машч</t>
  </si>
  <si>
    <t>компрессоры передвижные с двигателем внутреннего сгорания давлением до 686 кпа (7 атм.) 5 м3/мин</t>
  </si>
  <si>
    <t>краны на автомобильном ходу при работе на других видах строительства 10 т</t>
  </si>
  <si>
    <t>краны на гусеничном ходу при работе на других видах строительства до 16 т</t>
  </si>
  <si>
    <t>молотки при работе от передвижных компрессорных станций отбойные пневматические</t>
  </si>
  <si>
    <t>вибраторы глубинные пневматические</t>
  </si>
  <si>
    <t>автомобили бортовые грузоподъемностью до 5 т</t>
  </si>
  <si>
    <t>м3</t>
  </si>
  <si>
    <t>бетон тяжелый класса в15 /м-200/ фракции 5-20 мм</t>
  </si>
  <si>
    <t>раствор готовый кладочный цементный, марка: 100</t>
  </si>
  <si>
    <t>вода</t>
  </si>
  <si>
    <t>т</t>
  </si>
  <si>
    <t>гвозди строительные</t>
  </si>
  <si>
    <t>масло дизельное моторное м-10дм</t>
  </si>
  <si>
    <t>пиломатериалы хвойных пород доски обрезные длиной 4-6,5 м, шириной 75-150 мм, толщиной 32-40 мм iv сорта</t>
  </si>
  <si>
    <t>доски обрезные хвойных пород длиной 4-6,5 м, шириной 75-150 мм, толщиной 44 мм и более, iii сорта</t>
  </si>
  <si>
    <t>10м2</t>
  </si>
  <si>
    <t>ткань мешочная</t>
  </si>
  <si>
    <t>м2</t>
  </si>
  <si>
    <t>щиты из досок толщиной 25 мм</t>
  </si>
  <si>
    <t>лебедки ручные и рычажные, тяговым усилием 31,39 (3,2) кн (т)</t>
  </si>
  <si>
    <t>машины шлифовальные электрические</t>
  </si>
  <si>
    <t>установки для сварки ручной дуговой (постоянного тока)</t>
  </si>
  <si>
    <t>краски масляные земляные ма-0115 мумия, сурик железный</t>
  </si>
  <si>
    <t>олифа комбинированная к-2</t>
  </si>
  <si>
    <t>электроды диаметром 4 мм э42</t>
  </si>
  <si>
    <t>шт</t>
  </si>
  <si>
    <t>шлифкруги</t>
  </si>
  <si>
    <t>конструкции стальные: перил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</si>
</sst>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#"/>
  </numFmts>
  <fonts count="15" x14ac:knownFonts="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color rgb="FF800080"/>
      <name val="Times New Roman Cyr"/>
      <charset val="204"/>
    </font>
    <font>
      <sz val="10"/>
      <name val="Times New Roman Cyr"/>
      <charset val="204"/>
    </font>
    <font>
      <sz val="10"/>
      <color rgb="FF000080"/>
      <name val="Times New Roman Cyr"/>
      <charset val="204"/>
    </font>
    <font>
      <sz val="9"/>
      <color rgb="FF003300"/>
      <name val="Times New Roman Cyr"/>
      <charset val="204"/>
    </font>
    <font>
      <sz val="10"/>
      <color rgb="FF003300"/>
      <name val="Times New Roman Cyr"/>
      <charset val="204"/>
    </font>
    <font>
      <sz val="9"/>
      <color rgb="FF000080"/>
      <name val="Times New Roman Cyr"/>
      <charset val="204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1" fillId="0" borderId="0" xfId="1" applyAlignment="1">
      <alignment vertical="top"/>
    </xf>
    <xf numFmtId="0" fontId="1" fillId="0" borderId="0" xfId="1" applyAlignment="1">
      <alignment horizontal="right" vertical="top"/>
    </xf>
    <xf numFmtId="0" fontId="2" fillId="0" borderId="0" xfId="1" applyFont="1" applyAlignment="1">
      <alignment horizontal="center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0" fontId="4" fillId="0" borderId="0" xfId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0" fontId="2" fillId="0" borderId="0" xfId="1" applyFont="1" applyAlignment="1">
      <alignment vertical="top"/>
    </xf>
    <xf numFmtId="0" fontId="1" fillId="0" borderId="0" xfId="1" applyAlignment="1">
      <alignment horizontal="center" vertical="center"/>
    </xf>
    <xf numFmtId="0" fontId="2" fillId="2" borderId="6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12" fillId="0" borderId="0" xfId="1" applyFont="1" applyAlignment="1">
      <alignment vertical="top"/>
    </xf>
    <xf numFmtId="0" fontId="1" fillId="0" borderId="0" xfId="1"/>
    <xf numFmtId="0" fontId="6" fillId="2" borderId="8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4" borderId="10" xfId="1" applyFont="1" applyFill="1" applyBorder="1" applyAlignment="1">
      <alignment horizontal="center" vertical="top" wrapText="1"/>
    </xf>
    <xf numFmtId="0" fontId="7" fillId="4" borderId="10" xfId="1" applyFont="1" applyFill="1" applyBorder="1" applyAlignment="1">
      <alignment horizontal="left" vertical="top" wrapText="1"/>
    </xf>
    <xf numFmtId="4" fontId="1" fillId="4" borderId="10" xfId="1" applyNumberFormat="1" applyFill="1" applyBorder="1" applyAlignment="1">
      <alignment horizontal="right" vertical="top"/>
    </xf>
    <xf numFmtId="4" fontId="1" fillId="4" borderId="10" xfId="1" applyNumberFormat="1" applyFill="1" applyBorder="1" applyAlignment="1">
      <alignment vertical="top"/>
    </xf>
    <xf numFmtId="4" fontId="1" fillId="4" borderId="0" xfId="1" applyNumberFormat="1" applyFill="1" applyAlignment="1">
      <alignment vertical="top"/>
    </xf>
    <xf numFmtId="0" fontId="1" fillId="4" borderId="0" xfId="1" applyFill="1" applyAlignment="1">
      <alignment vertical="top"/>
    </xf>
    <xf numFmtId="49" fontId="8" fillId="0" borderId="10" xfId="1" applyNumberFormat="1" applyFont="1" applyBorder="1" applyAlignment="1">
      <alignment horizontal="center" vertical="top" wrapText="1"/>
    </xf>
    <xf numFmtId="0" fontId="8" fillId="0" borderId="10" xfId="1" applyFont="1" applyBorder="1" applyAlignment="1">
      <alignment horizontal="center" vertical="top" wrapText="1"/>
    </xf>
    <xf numFmtId="0" fontId="8" fillId="0" borderId="10" xfId="1" applyFont="1" applyBorder="1" applyAlignment="1">
      <alignment horizontal="left" vertical="top" wrapText="1" indent="2"/>
    </xf>
    <xf numFmtId="3" fontId="8" fillId="0" borderId="10" xfId="1" applyNumberFormat="1" applyFont="1" applyBorder="1" applyAlignment="1">
      <alignment horizontal="right" vertical="top"/>
    </xf>
    <xf numFmtId="164" fontId="8" fillId="0" borderId="10" xfId="1" applyNumberFormat="1" applyFont="1" applyBorder="1" applyAlignment="1">
      <alignment horizontal="right" vertical="top"/>
    </xf>
    <xf numFmtId="4" fontId="9" fillId="0" borderId="10" xfId="1" applyNumberFormat="1" applyFont="1" applyBorder="1" applyAlignment="1">
      <alignment vertical="top"/>
    </xf>
    <xf numFmtId="4" fontId="9" fillId="0" borderId="0" xfId="1" applyNumberFormat="1" applyFont="1" applyAlignment="1">
      <alignment vertical="top"/>
    </xf>
    <xf numFmtId="49" fontId="8" fillId="4" borderId="10" xfId="1" applyNumberFormat="1" applyFont="1" applyFill="1" applyBorder="1" applyAlignment="1">
      <alignment horizontal="center" vertical="top" wrapText="1"/>
    </xf>
    <xf numFmtId="0" fontId="8" fillId="4" borderId="10" xfId="1" applyFont="1" applyFill="1" applyBorder="1" applyAlignment="1">
      <alignment horizontal="center" vertical="top" wrapText="1"/>
    </xf>
    <xf numFmtId="0" fontId="8" fillId="4" borderId="10" xfId="1" applyFont="1" applyFill="1" applyBorder="1" applyAlignment="1">
      <alignment horizontal="left" vertical="top" wrapText="1" indent="2"/>
    </xf>
    <xf numFmtId="164" fontId="8" fillId="4" borderId="10" xfId="1" applyNumberFormat="1" applyFont="1" applyFill="1" applyBorder="1" applyAlignment="1">
      <alignment horizontal="right" vertical="top"/>
    </xf>
    <xf numFmtId="4" fontId="10" fillId="4" borderId="10" xfId="1" applyNumberFormat="1" applyFont="1" applyFill="1" applyBorder="1" applyAlignment="1">
      <alignment vertical="top"/>
    </xf>
    <xf numFmtId="4" fontId="10" fillId="4" borderId="0" xfId="1" applyNumberFormat="1" applyFont="1" applyFill="1" applyAlignment="1">
      <alignment vertical="top"/>
    </xf>
    <xf numFmtId="0" fontId="10" fillId="4" borderId="0" xfId="1" applyFont="1" applyFill="1" applyAlignment="1">
      <alignment vertical="top"/>
    </xf>
    <xf numFmtId="49" fontId="11" fillId="0" borderId="10" xfId="1" applyNumberFormat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left" vertical="top" wrapText="1" indent="2"/>
    </xf>
    <xf numFmtId="164" fontId="11" fillId="0" borderId="10" xfId="1" applyNumberFormat="1" applyFont="1" applyBorder="1" applyAlignment="1">
      <alignment horizontal="right" vertical="top"/>
    </xf>
    <xf numFmtId="4" fontId="12" fillId="0" borderId="10" xfId="1" applyNumberFormat="1" applyFont="1" applyBorder="1" applyAlignment="1">
      <alignment vertical="top"/>
    </xf>
    <xf numFmtId="4" fontId="12" fillId="0" borderId="0" xfId="1" applyNumberFormat="1" applyFont="1" applyAlignment="1">
      <alignment vertical="top"/>
    </xf>
    <xf numFmtId="49" fontId="13" fillId="0" borderId="10" xfId="1" applyNumberFormat="1" applyFont="1" applyBorder="1" applyAlignment="1">
      <alignment horizontal="center" vertical="top" wrapText="1"/>
    </xf>
    <xf numFmtId="0" fontId="13" fillId="0" borderId="10" xfId="1" applyFont="1" applyBorder="1" applyAlignment="1">
      <alignment horizontal="center" vertical="top" wrapText="1"/>
    </xf>
    <xf numFmtId="0" fontId="13" fillId="0" borderId="10" xfId="1" applyFont="1" applyBorder="1" applyAlignment="1">
      <alignment horizontal="left" vertical="top" wrapText="1" indent="2"/>
    </xf>
    <xf numFmtId="164" fontId="13" fillId="0" borderId="10" xfId="1" applyNumberFormat="1" applyFont="1" applyBorder="1" applyAlignment="1">
      <alignment horizontal="right" vertical="top"/>
    </xf>
    <xf numFmtId="4" fontId="10" fillId="0" borderId="10" xfId="1" applyNumberFormat="1" applyFont="1" applyBorder="1" applyAlignment="1">
      <alignment vertical="top"/>
    </xf>
    <xf numFmtId="4" fontId="10" fillId="0" borderId="0" xfId="1" applyNumberFormat="1" applyFont="1" applyAlignment="1">
      <alignment vertical="top"/>
    </xf>
    <xf numFmtId="3" fontId="13" fillId="0" borderId="10" xfId="1" applyNumberFormat="1" applyFont="1" applyBorder="1" applyAlignment="1">
      <alignment horizontal="right" vertical="top"/>
    </xf>
    <xf numFmtId="4" fontId="1" fillId="0" borderId="0" xfId="1" applyNumberFormat="1" applyAlignment="1">
      <alignment vertical="top"/>
    </xf>
    <xf numFmtId="0" fontId="1" fillId="3" borderId="10" xfId="1" applyFill="1" applyBorder="1"/>
    <xf numFmtId="0" fontId="7" fillId="3" borderId="10" xfId="1" applyFont="1" applyFill="1" applyBorder="1"/>
    <xf numFmtId="10" fontId="1" fillId="3" borderId="10" xfId="1" applyNumberFormat="1" applyFill="1" applyBorder="1"/>
    <xf numFmtId="4" fontId="7" fillId="3" borderId="10" xfId="1" applyNumberFormat="1" applyFont="1" applyFill="1" applyBorder="1"/>
    <xf numFmtId="10" fontId="7" fillId="3" borderId="10" xfId="1" applyNumberFormat="1" applyFont="1" applyFill="1" applyBorder="1"/>
    <xf numFmtId="0" fontId="14" fillId="5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2" fillId="2" borderId="9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164" fontId="7" fillId="4" borderId="10" xfId="1" applyNumberFormat="1" applyFont="1" applyFill="1" applyBorder="1" applyAlignment="1">
      <alignment horizontal="center" vertical="top"/>
    </xf>
    <xf numFmtId="0" fontId="3" fillId="0" borderId="2" xfId="1" applyFont="1" applyBorder="1" applyAlignment="1">
      <alignment horizontal="center" vertical="top" wrapText="1"/>
    </xf>
    <xf numFmtId="0" fontId="1" fillId="0" borderId="1" xfId="1" applyBorder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1" fillId="0" borderId="12" xfId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</cellXfs>
  <cellStyles count="2">
    <cellStyle name="Обычный" xfId="0" builtinId="0"/>
    <cellStyle name="Обычный 2" xfId="1" xr:uid="{00000000-0005-0000-0000-000001000000}"/>
  </cellStyles>
  <dxfs count="1"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showGridLines="0" tabSelected="1" topLeftCell="A7" workbookViewId="0">
      <selection activeCell="C16" sqref="C16"/>
    </sheetView>
  </sheetViews>
  <sheetFormatPr defaultRowHeight="12.75" outlineLevelRow="1" x14ac:dyDescent="0.2"/>
  <cols>
    <col min="1" max="1" width="5.42578125" style="15" customWidth="1"/>
    <col min="2" max="2" width="13.5703125" style="15" customWidth="1"/>
    <col min="3" max="3" width="82.85546875" style="15" customWidth="1"/>
    <col min="4" max="6" width="10.140625" style="15" customWidth="1"/>
    <col min="7" max="8" width="12" style="15" customWidth="1"/>
    <col min="9" max="9" width="11" style="15" customWidth="1"/>
    <col min="10" max="10" width="9.140625" style="15" customWidth="1"/>
    <col min="11" max="11" width="12" style="15" customWidth="1"/>
    <col min="12" max="256" width="9.140625" style="15" customWidth="1"/>
    <col min="257" max="257" width="5.42578125" style="15" customWidth="1"/>
    <col min="258" max="258" width="13.5703125" style="15" customWidth="1"/>
    <col min="259" max="259" width="82.85546875" style="15" customWidth="1"/>
    <col min="260" max="262" width="10.140625" style="15" customWidth="1"/>
    <col min="263" max="512" width="9.140625" style="15" customWidth="1"/>
    <col min="513" max="513" width="5.42578125" style="15" customWidth="1"/>
    <col min="514" max="514" width="13.5703125" style="15" customWidth="1"/>
    <col min="515" max="515" width="82.85546875" style="15" customWidth="1"/>
    <col min="516" max="518" width="10.140625" style="15" customWidth="1"/>
    <col min="519" max="768" width="9.140625" style="15" customWidth="1"/>
    <col min="769" max="769" width="5.42578125" style="15" customWidth="1"/>
    <col min="770" max="770" width="13.5703125" style="15" customWidth="1"/>
    <col min="771" max="771" width="82.85546875" style="15" customWidth="1"/>
    <col min="772" max="774" width="10.140625" style="15" customWidth="1"/>
    <col min="775" max="1024" width="9.140625" style="15" customWidth="1"/>
    <col min="1025" max="1025" width="5.42578125" style="15" customWidth="1"/>
    <col min="1026" max="1026" width="13.5703125" style="15" customWidth="1"/>
    <col min="1027" max="1027" width="82.85546875" style="15" customWidth="1"/>
    <col min="1028" max="1030" width="10.140625" style="15" customWidth="1"/>
    <col min="1031" max="1280" width="9.140625" style="15" customWidth="1"/>
    <col min="1281" max="1281" width="5.42578125" style="15" customWidth="1"/>
    <col min="1282" max="1282" width="13.5703125" style="15" customWidth="1"/>
    <col min="1283" max="1283" width="82.85546875" style="15" customWidth="1"/>
    <col min="1284" max="1286" width="10.140625" style="15" customWidth="1"/>
    <col min="1287" max="1536" width="9.140625" style="15" customWidth="1"/>
    <col min="1537" max="1537" width="5.42578125" style="15" customWidth="1"/>
    <col min="1538" max="1538" width="13.5703125" style="15" customWidth="1"/>
    <col min="1539" max="1539" width="82.85546875" style="15" customWidth="1"/>
    <col min="1540" max="1542" width="10.140625" style="15" customWidth="1"/>
    <col min="1543" max="1792" width="9.140625" style="15" customWidth="1"/>
    <col min="1793" max="1793" width="5.42578125" style="15" customWidth="1"/>
    <col min="1794" max="1794" width="13.5703125" style="15" customWidth="1"/>
    <col min="1795" max="1795" width="82.85546875" style="15" customWidth="1"/>
    <col min="1796" max="1798" width="10.140625" style="15" customWidth="1"/>
    <col min="1799" max="2048" width="9.140625" style="15" customWidth="1"/>
    <col min="2049" max="2049" width="5.42578125" style="15" customWidth="1"/>
    <col min="2050" max="2050" width="13.5703125" style="15" customWidth="1"/>
    <col min="2051" max="2051" width="82.85546875" style="15" customWidth="1"/>
    <col min="2052" max="2054" width="10.140625" style="15" customWidth="1"/>
    <col min="2055" max="2304" width="9.140625" style="15" customWidth="1"/>
    <col min="2305" max="2305" width="5.42578125" style="15" customWidth="1"/>
    <col min="2306" max="2306" width="13.5703125" style="15" customWidth="1"/>
    <col min="2307" max="2307" width="82.85546875" style="15" customWidth="1"/>
    <col min="2308" max="2310" width="10.140625" style="15" customWidth="1"/>
    <col min="2311" max="2560" width="9.140625" style="15" customWidth="1"/>
    <col min="2561" max="2561" width="5.42578125" style="15" customWidth="1"/>
    <col min="2562" max="2562" width="13.5703125" style="15" customWidth="1"/>
    <col min="2563" max="2563" width="82.85546875" style="15" customWidth="1"/>
    <col min="2564" max="2566" width="10.140625" style="15" customWidth="1"/>
    <col min="2567" max="2816" width="9.140625" style="15" customWidth="1"/>
    <col min="2817" max="2817" width="5.42578125" style="15" customWidth="1"/>
    <col min="2818" max="2818" width="13.5703125" style="15" customWidth="1"/>
    <col min="2819" max="2819" width="82.85546875" style="15" customWidth="1"/>
    <col min="2820" max="2822" width="10.140625" style="15" customWidth="1"/>
    <col min="2823" max="3072" width="9.140625" style="15" customWidth="1"/>
    <col min="3073" max="3073" width="5.42578125" style="15" customWidth="1"/>
    <col min="3074" max="3074" width="13.5703125" style="15" customWidth="1"/>
    <col min="3075" max="3075" width="82.85546875" style="15" customWidth="1"/>
    <col min="3076" max="3078" width="10.140625" style="15" customWidth="1"/>
    <col min="3079" max="3328" width="9.140625" style="15" customWidth="1"/>
    <col min="3329" max="3329" width="5.42578125" style="15" customWidth="1"/>
    <col min="3330" max="3330" width="13.5703125" style="15" customWidth="1"/>
    <col min="3331" max="3331" width="82.85546875" style="15" customWidth="1"/>
    <col min="3332" max="3334" width="10.140625" style="15" customWidth="1"/>
    <col min="3335" max="3584" width="9.140625" style="15" customWidth="1"/>
    <col min="3585" max="3585" width="5.42578125" style="15" customWidth="1"/>
    <col min="3586" max="3586" width="13.5703125" style="15" customWidth="1"/>
    <col min="3587" max="3587" width="82.85546875" style="15" customWidth="1"/>
    <col min="3588" max="3590" width="10.140625" style="15" customWidth="1"/>
    <col min="3591" max="3840" width="9.140625" style="15" customWidth="1"/>
    <col min="3841" max="3841" width="5.42578125" style="15" customWidth="1"/>
    <col min="3842" max="3842" width="13.5703125" style="15" customWidth="1"/>
    <col min="3843" max="3843" width="82.85546875" style="15" customWidth="1"/>
    <col min="3844" max="3846" width="10.140625" style="15" customWidth="1"/>
    <col min="3847" max="4096" width="9.140625" style="15" customWidth="1"/>
    <col min="4097" max="4097" width="5.42578125" style="15" customWidth="1"/>
    <col min="4098" max="4098" width="13.5703125" style="15" customWidth="1"/>
    <col min="4099" max="4099" width="82.85546875" style="15" customWidth="1"/>
    <col min="4100" max="4102" width="10.140625" style="15" customWidth="1"/>
    <col min="4103" max="4352" width="9.140625" style="15" customWidth="1"/>
    <col min="4353" max="4353" width="5.42578125" style="15" customWidth="1"/>
    <col min="4354" max="4354" width="13.5703125" style="15" customWidth="1"/>
    <col min="4355" max="4355" width="82.85546875" style="15" customWidth="1"/>
    <col min="4356" max="4358" width="10.140625" style="15" customWidth="1"/>
    <col min="4359" max="4608" width="9.140625" style="15" customWidth="1"/>
    <col min="4609" max="4609" width="5.42578125" style="15" customWidth="1"/>
    <col min="4610" max="4610" width="13.5703125" style="15" customWidth="1"/>
    <col min="4611" max="4611" width="82.85546875" style="15" customWidth="1"/>
    <col min="4612" max="4614" width="10.140625" style="15" customWidth="1"/>
    <col min="4615" max="4864" width="9.140625" style="15" customWidth="1"/>
    <col min="4865" max="4865" width="5.42578125" style="15" customWidth="1"/>
    <col min="4866" max="4866" width="13.5703125" style="15" customWidth="1"/>
    <col min="4867" max="4867" width="82.85546875" style="15" customWidth="1"/>
    <col min="4868" max="4870" width="10.140625" style="15" customWidth="1"/>
    <col min="4871" max="5120" width="9.140625" style="15" customWidth="1"/>
    <col min="5121" max="5121" width="5.42578125" style="15" customWidth="1"/>
    <col min="5122" max="5122" width="13.5703125" style="15" customWidth="1"/>
    <col min="5123" max="5123" width="82.85546875" style="15" customWidth="1"/>
    <col min="5124" max="5126" width="10.140625" style="15" customWidth="1"/>
    <col min="5127" max="5376" width="9.140625" style="15" customWidth="1"/>
    <col min="5377" max="5377" width="5.42578125" style="15" customWidth="1"/>
    <col min="5378" max="5378" width="13.5703125" style="15" customWidth="1"/>
    <col min="5379" max="5379" width="82.85546875" style="15" customWidth="1"/>
    <col min="5380" max="5382" width="10.140625" style="15" customWidth="1"/>
    <col min="5383" max="5632" width="9.140625" style="15" customWidth="1"/>
    <col min="5633" max="5633" width="5.42578125" style="15" customWidth="1"/>
    <col min="5634" max="5634" width="13.5703125" style="15" customWidth="1"/>
    <col min="5635" max="5635" width="82.85546875" style="15" customWidth="1"/>
    <col min="5636" max="5638" width="10.140625" style="15" customWidth="1"/>
    <col min="5639" max="5888" width="9.140625" style="15" customWidth="1"/>
    <col min="5889" max="5889" width="5.42578125" style="15" customWidth="1"/>
    <col min="5890" max="5890" width="13.5703125" style="15" customWidth="1"/>
    <col min="5891" max="5891" width="82.85546875" style="15" customWidth="1"/>
    <col min="5892" max="5894" width="10.140625" style="15" customWidth="1"/>
    <col min="5895" max="6144" width="9.140625" style="15" customWidth="1"/>
    <col min="6145" max="6145" width="5.42578125" style="15" customWidth="1"/>
    <col min="6146" max="6146" width="13.5703125" style="15" customWidth="1"/>
    <col min="6147" max="6147" width="82.85546875" style="15" customWidth="1"/>
    <col min="6148" max="6150" width="10.140625" style="15" customWidth="1"/>
    <col min="6151" max="6400" width="9.140625" style="15" customWidth="1"/>
    <col min="6401" max="6401" width="5.42578125" style="15" customWidth="1"/>
    <col min="6402" max="6402" width="13.5703125" style="15" customWidth="1"/>
    <col min="6403" max="6403" width="82.85546875" style="15" customWidth="1"/>
    <col min="6404" max="6406" width="10.140625" style="15" customWidth="1"/>
    <col min="6407" max="6656" width="9.140625" style="15" customWidth="1"/>
    <col min="6657" max="6657" width="5.42578125" style="15" customWidth="1"/>
    <col min="6658" max="6658" width="13.5703125" style="15" customWidth="1"/>
    <col min="6659" max="6659" width="82.85546875" style="15" customWidth="1"/>
    <col min="6660" max="6662" width="10.140625" style="15" customWidth="1"/>
    <col min="6663" max="6912" width="9.140625" style="15" customWidth="1"/>
    <col min="6913" max="6913" width="5.42578125" style="15" customWidth="1"/>
    <col min="6914" max="6914" width="13.5703125" style="15" customWidth="1"/>
    <col min="6915" max="6915" width="82.85546875" style="15" customWidth="1"/>
    <col min="6916" max="6918" width="10.140625" style="15" customWidth="1"/>
    <col min="6919" max="7168" width="9.140625" style="15" customWidth="1"/>
    <col min="7169" max="7169" width="5.42578125" style="15" customWidth="1"/>
    <col min="7170" max="7170" width="13.5703125" style="15" customWidth="1"/>
    <col min="7171" max="7171" width="82.85546875" style="15" customWidth="1"/>
    <col min="7172" max="7174" width="10.140625" style="15" customWidth="1"/>
    <col min="7175" max="7424" width="9.140625" style="15" customWidth="1"/>
    <col min="7425" max="7425" width="5.42578125" style="15" customWidth="1"/>
    <col min="7426" max="7426" width="13.5703125" style="15" customWidth="1"/>
    <col min="7427" max="7427" width="82.85546875" style="15" customWidth="1"/>
    <col min="7428" max="7430" width="10.140625" style="15" customWidth="1"/>
    <col min="7431" max="7680" width="9.140625" style="15" customWidth="1"/>
    <col min="7681" max="7681" width="5.42578125" style="15" customWidth="1"/>
    <col min="7682" max="7682" width="13.5703125" style="15" customWidth="1"/>
    <col min="7683" max="7683" width="82.85546875" style="15" customWidth="1"/>
    <col min="7684" max="7686" width="10.140625" style="15" customWidth="1"/>
    <col min="7687" max="7936" width="9.140625" style="15" customWidth="1"/>
    <col min="7937" max="7937" width="5.42578125" style="15" customWidth="1"/>
    <col min="7938" max="7938" width="13.5703125" style="15" customWidth="1"/>
    <col min="7939" max="7939" width="82.85546875" style="15" customWidth="1"/>
    <col min="7940" max="7942" width="10.140625" style="15" customWidth="1"/>
    <col min="7943" max="8192" width="9.140625" style="15" customWidth="1"/>
    <col min="8193" max="8193" width="5.42578125" style="15" customWidth="1"/>
    <col min="8194" max="8194" width="13.5703125" style="15" customWidth="1"/>
    <col min="8195" max="8195" width="82.85546875" style="15" customWidth="1"/>
    <col min="8196" max="8198" width="10.140625" style="15" customWidth="1"/>
    <col min="8199" max="8448" width="9.140625" style="15" customWidth="1"/>
    <col min="8449" max="8449" width="5.42578125" style="15" customWidth="1"/>
    <col min="8450" max="8450" width="13.5703125" style="15" customWidth="1"/>
    <col min="8451" max="8451" width="82.85546875" style="15" customWidth="1"/>
    <col min="8452" max="8454" width="10.140625" style="15" customWidth="1"/>
    <col min="8455" max="8704" width="9.140625" style="15" customWidth="1"/>
    <col min="8705" max="8705" width="5.42578125" style="15" customWidth="1"/>
    <col min="8706" max="8706" width="13.5703125" style="15" customWidth="1"/>
    <col min="8707" max="8707" width="82.85546875" style="15" customWidth="1"/>
    <col min="8708" max="8710" width="10.140625" style="15" customWidth="1"/>
    <col min="8711" max="8960" width="9.140625" style="15" customWidth="1"/>
    <col min="8961" max="8961" width="5.42578125" style="15" customWidth="1"/>
    <col min="8962" max="8962" width="13.5703125" style="15" customWidth="1"/>
    <col min="8963" max="8963" width="82.85546875" style="15" customWidth="1"/>
    <col min="8964" max="8966" width="10.140625" style="15" customWidth="1"/>
    <col min="8967" max="9216" width="9.140625" style="15" customWidth="1"/>
    <col min="9217" max="9217" width="5.42578125" style="15" customWidth="1"/>
    <col min="9218" max="9218" width="13.5703125" style="15" customWidth="1"/>
    <col min="9219" max="9219" width="82.85546875" style="15" customWidth="1"/>
    <col min="9220" max="9222" width="10.140625" style="15" customWidth="1"/>
    <col min="9223" max="9472" width="9.140625" style="15" customWidth="1"/>
    <col min="9473" max="9473" width="5.42578125" style="15" customWidth="1"/>
    <col min="9474" max="9474" width="13.5703125" style="15" customWidth="1"/>
    <col min="9475" max="9475" width="82.85546875" style="15" customWidth="1"/>
    <col min="9476" max="9478" width="10.140625" style="15" customWidth="1"/>
    <col min="9479" max="9728" width="9.140625" style="15" customWidth="1"/>
    <col min="9729" max="9729" width="5.42578125" style="15" customWidth="1"/>
    <col min="9730" max="9730" width="13.5703125" style="15" customWidth="1"/>
    <col min="9731" max="9731" width="82.85546875" style="15" customWidth="1"/>
    <col min="9732" max="9734" width="10.140625" style="15" customWidth="1"/>
    <col min="9735" max="9984" width="9.140625" style="15" customWidth="1"/>
    <col min="9985" max="9985" width="5.42578125" style="15" customWidth="1"/>
    <col min="9986" max="9986" width="13.5703125" style="15" customWidth="1"/>
    <col min="9987" max="9987" width="82.85546875" style="15" customWidth="1"/>
    <col min="9988" max="9990" width="10.140625" style="15" customWidth="1"/>
    <col min="9991" max="10240" width="9.140625" style="15" customWidth="1"/>
    <col min="10241" max="10241" width="5.42578125" style="15" customWidth="1"/>
    <col min="10242" max="10242" width="13.5703125" style="15" customWidth="1"/>
    <col min="10243" max="10243" width="82.85546875" style="15" customWidth="1"/>
    <col min="10244" max="10246" width="10.140625" style="15" customWidth="1"/>
    <col min="10247" max="10496" width="9.140625" style="15" customWidth="1"/>
    <col min="10497" max="10497" width="5.42578125" style="15" customWidth="1"/>
    <col min="10498" max="10498" width="13.5703125" style="15" customWidth="1"/>
    <col min="10499" max="10499" width="82.85546875" style="15" customWidth="1"/>
    <col min="10500" max="10502" width="10.140625" style="15" customWidth="1"/>
    <col min="10503" max="10752" width="9.140625" style="15" customWidth="1"/>
    <col min="10753" max="10753" width="5.42578125" style="15" customWidth="1"/>
    <col min="10754" max="10754" width="13.5703125" style="15" customWidth="1"/>
    <col min="10755" max="10755" width="82.85546875" style="15" customWidth="1"/>
    <col min="10756" max="10758" width="10.140625" style="15" customWidth="1"/>
    <col min="10759" max="11008" width="9.140625" style="15" customWidth="1"/>
    <col min="11009" max="11009" width="5.42578125" style="15" customWidth="1"/>
    <col min="11010" max="11010" width="13.5703125" style="15" customWidth="1"/>
    <col min="11011" max="11011" width="82.85546875" style="15" customWidth="1"/>
    <col min="11012" max="11014" width="10.140625" style="15" customWidth="1"/>
    <col min="11015" max="11264" width="9.140625" style="15" customWidth="1"/>
    <col min="11265" max="11265" width="5.42578125" style="15" customWidth="1"/>
    <col min="11266" max="11266" width="13.5703125" style="15" customWidth="1"/>
    <col min="11267" max="11267" width="82.85546875" style="15" customWidth="1"/>
    <col min="11268" max="11270" width="10.140625" style="15" customWidth="1"/>
    <col min="11271" max="11520" width="9.140625" style="15" customWidth="1"/>
    <col min="11521" max="11521" width="5.42578125" style="15" customWidth="1"/>
    <col min="11522" max="11522" width="13.5703125" style="15" customWidth="1"/>
    <col min="11523" max="11523" width="82.85546875" style="15" customWidth="1"/>
    <col min="11524" max="11526" width="10.140625" style="15" customWidth="1"/>
    <col min="11527" max="11776" width="9.140625" style="15" customWidth="1"/>
    <col min="11777" max="11777" width="5.42578125" style="15" customWidth="1"/>
    <col min="11778" max="11778" width="13.5703125" style="15" customWidth="1"/>
    <col min="11779" max="11779" width="82.85546875" style="15" customWidth="1"/>
    <col min="11780" max="11782" width="10.140625" style="15" customWidth="1"/>
    <col min="11783" max="12032" width="9.140625" style="15" customWidth="1"/>
    <col min="12033" max="12033" width="5.42578125" style="15" customWidth="1"/>
    <col min="12034" max="12034" width="13.5703125" style="15" customWidth="1"/>
    <col min="12035" max="12035" width="82.85546875" style="15" customWidth="1"/>
    <col min="12036" max="12038" width="10.140625" style="15" customWidth="1"/>
    <col min="12039" max="12288" width="9.140625" style="15" customWidth="1"/>
    <col min="12289" max="12289" width="5.42578125" style="15" customWidth="1"/>
    <col min="12290" max="12290" width="13.5703125" style="15" customWidth="1"/>
    <col min="12291" max="12291" width="82.85546875" style="15" customWidth="1"/>
    <col min="12292" max="12294" width="10.140625" style="15" customWidth="1"/>
    <col min="12295" max="12544" width="9.140625" style="15" customWidth="1"/>
    <col min="12545" max="12545" width="5.42578125" style="15" customWidth="1"/>
    <col min="12546" max="12546" width="13.5703125" style="15" customWidth="1"/>
    <col min="12547" max="12547" width="82.85546875" style="15" customWidth="1"/>
    <col min="12548" max="12550" width="10.140625" style="15" customWidth="1"/>
    <col min="12551" max="12800" width="9.140625" style="15" customWidth="1"/>
    <col min="12801" max="12801" width="5.42578125" style="15" customWidth="1"/>
    <col min="12802" max="12802" width="13.5703125" style="15" customWidth="1"/>
    <col min="12803" max="12803" width="82.85546875" style="15" customWidth="1"/>
    <col min="12804" max="12806" width="10.140625" style="15" customWidth="1"/>
    <col min="12807" max="13056" width="9.140625" style="15" customWidth="1"/>
    <col min="13057" max="13057" width="5.42578125" style="15" customWidth="1"/>
    <col min="13058" max="13058" width="13.5703125" style="15" customWidth="1"/>
    <col min="13059" max="13059" width="82.85546875" style="15" customWidth="1"/>
    <col min="13060" max="13062" width="10.140625" style="15" customWidth="1"/>
    <col min="13063" max="13312" width="9.140625" style="15" customWidth="1"/>
    <col min="13313" max="13313" width="5.42578125" style="15" customWidth="1"/>
    <col min="13314" max="13314" width="13.5703125" style="15" customWidth="1"/>
    <col min="13315" max="13315" width="82.85546875" style="15" customWidth="1"/>
    <col min="13316" max="13318" width="10.140625" style="15" customWidth="1"/>
    <col min="13319" max="13568" width="9.140625" style="15" customWidth="1"/>
    <col min="13569" max="13569" width="5.42578125" style="15" customWidth="1"/>
    <col min="13570" max="13570" width="13.5703125" style="15" customWidth="1"/>
    <col min="13571" max="13571" width="82.85546875" style="15" customWidth="1"/>
    <col min="13572" max="13574" width="10.140625" style="15" customWidth="1"/>
    <col min="13575" max="13824" width="9.140625" style="15" customWidth="1"/>
    <col min="13825" max="13825" width="5.42578125" style="15" customWidth="1"/>
    <col min="13826" max="13826" width="13.5703125" style="15" customWidth="1"/>
    <col min="13827" max="13827" width="82.85546875" style="15" customWidth="1"/>
    <col min="13828" max="13830" width="10.140625" style="15" customWidth="1"/>
    <col min="13831" max="14080" width="9.140625" style="15" customWidth="1"/>
    <col min="14081" max="14081" width="5.42578125" style="15" customWidth="1"/>
    <col min="14082" max="14082" width="13.5703125" style="15" customWidth="1"/>
    <col min="14083" max="14083" width="82.85546875" style="15" customWidth="1"/>
    <col min="14084" max="14086" width="10.140625" style="15" customWidth="1"/>
    <col min="14087" max="14336" width="9.140625" style="15" customWidth="1"/>
    <col min="14337" max="14337" width="5.42578125" style="15" customWidth="1"/>
    <col min="14338" max="14338" width="13.5703125" style="15" customWidth="1"/>
    <col min="14339" max="14339" width="82.85546875" style="15" customWidth="1"/>
    <col min="14340" max="14342" width="10.140625" style="15" customWidth="1"/>
    <col min="14343" max="14592" width="9.140625" style="15" customWidth="1"/>
    <col min="14593" max="14593" width="5.42578125" style="15" customWidth="1"/>
    <col min="14594" max="14594" width="13.5703125" style="15" customWidth="1"/>
    <col min="14595" max="14595" width="82.85546875" style="15" customWidth="1"/>
    <col min="14596" max="14598" width="10.140625" style="15" customWidth="1"/>
    <col min="14599" max="14848" width="9.140625" style="15" customWidth="1"/>
    <col min="14849" max="14849" width="5.42578125" style="15" customWidth="1"/>
    <col min="14850" max="14850" width="13.5703125" style="15" customWidth="1"/>
    <col min="14851" max="14851" width="82.85546875" style="15" customWidth="1"/>
    <col min="14852" max="14854" width="10.140625" style="15" customWidth="1"/>
    <col min="14855" max="15104" width="9.140625" style="15" customWidth="1"/>
    <col min="15105" max="15105" width="5.42578125" style="15" customWidth="1"/>
    <col min="15106" max="15106" width="13.5703125" style="15" customWidth="1"/>
    <col min="15107" max="15107" width="82.85546875" style="15" customWidth="1"/>
    <col min="15108" max="15110" width="10.140625" style="15" customWidth="1"/>
    <col min="15111" max="15360" width="9.140625" style="15" customWidth="1"/>
    <col min="15361" max="15361" width="5.42578125" style="15" customWidth="1"/>
    <col min="15362" max="15362" width="13.5703125" style="15" customWidth="1"/>
    <col min="15363" max="15363" width="82.85546875" style="15" customWidth="1"/>
    <col min="15364" max="15366" width="10.140625" style="15" customWidth="1"/>
    <col min="15367" max="15616" width="9.140625" style="15" customWidth="1"/>
    <col min="15617" max="15617" width="5.42578125" style="15" customWidth="1"/>
    <col min="15618" max="15618" width="13.5703125" style="15" customWidth="1"/>
    <col min="15619" max="15619" width="82.85546875" style="15" customWidth="1"/>
    <col min="15620" max="15622" width="10.140625" style="15" customWidth="1"/>
    <col min="15623" max="15872" width="9.140625" style="15" customWidth="1"/>
    <col min="15873" max="15873" width="5.42578125" style="15" customWidth="1"/>
    <col min="15874" max="15874" width="13.5703125" style="15" customWidth="1"/>
    <col min="15875" max="15875" width="82.85546875" style="15" customWidth="1"/>
    <col min="15876" max="15878" width="10.140625" style="15" customWidth="1"/>
    <col min="15879" max="16128" width="9.140625" style="15" customWidth="1"/>
    <col min="16129" max="16129" width="5.42578125" style="15" customWidth="1"/>
    <col min="16130" max="16130" width="13.5703125" style="15" customWidth="1"/>
    <col min="16131" max="16131" width="82.85546875" style="15" customWidth="1"/>
    <col min="16132" max="16134" width="10.140625" style="15" customWidth="1"/>
    <col min="16135" max="16384" width="9.140625" style="15" customWidth="1"/>
  </cols>
  <sheetData>
    <row r="1" spans="1:13" s="1" customFormat="1" x14ac:dyDescent="0.25">
      <c r="F1" s="2" t="s">
        <v>0</v>
      </c>
    </row>
    <row r="2" spans="1:13" s="1" customFormat="1" x14ac:dyDescent="0.25">
      <c r="B2" s="66" t="s">
        <v>1</v>
      </c>
      <c r="C2" s="66"/>
      <c r="D2" s="66"/>
      <c r="E2" s="66"/>
      <c r="F2" s="66"/>
    </row>
    <row r="3" spans="1:13" s="1" customFormat="1" x14ac:dyDescent="0.25">
      <c r="A3" s="3"/>
      <c r="B3" s="65" t="s">
        <v>2</v>
      </c>
      <c r="C3" s="65"/>
      <c r="D3" s="65"/>
      <c r="E3" s="65"/>
      <c r="F3" s="65"/>
    </row>
    <row r="4" spans="1:13" s="1" customFormat="1" x14ac:dyDescent="0.25">
      <c r="C4" s="4"/>
      <c r="D4" s="4"/>
      <c r="E4" s="4"/>
      <c r="F4" s="4"/>
    </row>
    <row r="5" spans="1:13" s="1" customFormat="1" ht="15.75" customHeight="1" x14ac:dyDescent="0.25">
      <c r="A5" s="5"/>
      <c r="B5" s="5"/>
      <c r="C5" s="6" t="s">
        <v>3</v>
      </c>
      <c r="D5" s="67" t="s">
        <v>4</v>
      </c>
      <c r="E5" s="67"/>
      <c r="F5" s="67"/>
    </row>
    <row r="6" spans="1:13" s="1" customFormat="1" x14ac:dyDescent="0.25">
      <c r="A6" s="3"/>
      <c r="B6" s="68" t="s">
        <v>5</v>
      </c>
      <c r="C6" s="68"/>
      <c r="D6" s="68"/>
      <c r="E6" s="68"/>
      <c r="F6" s="68"/>
    </row>
    <row r="7" spans="1:13" s="1" customFormat="1" x14ac:dyDescent="0.25">
      <c r="D7" s="4"/>
      <c r="F7" s="7" t="s">
        <v>6</v>
      </c>
    </row>
    <row r="8" spans="1:13" s="1" customFormat="1" x14ac:dyDescent="0.25">
      <c r="A8" s="7" t="s">
        <v>7</v>
      </c>
      <c r="B8" s="66" t="s">
        <v>8</v>
      </c>
      <c r="C8" s="66"/>
      <c r="D8" s="66"/>
      <c r="E8" s="66"/>
      <c r="F8" s="66"/>
    </row>
    <row r="9" spans="1:13" s="1" customFormat="1" x14ac:dyDescent="0.25">
      <c r="A9" s="3"/>
      <c r="B9" s="65" t="s">
        <v>9</v>
      </c>
      <c r="C9" s="65"/>
      <c r="D9" s="65"/>
      <c r="E9" s="65"/>
      <c r="F9" s="65"/>
    </row>
    <row r="10" spans="1:13" s="1" customFormat="1" x14ac:dyDescent="0.25"/>
    <row r="11" spans="1:13" s="1" customFormat="1" x14ac:dyDescent="0.25">
      <c r="A11" s="8" t="s">
        <v>10</v>
      </c>
      <c r="B11" s="8"/>
      <c r="C11" s="72"/>
      <c r="D11" s="72"/>
      <c r="E11" s="72"/>
      <c r="F11" s="72"/>
    </row>
    <row r="12" spans="1:13" s="9" customFormat="1" ht="12.75" customHeight="1" x14ac:dyDescent="0.25">
      <c r="A12" s="62" t="s">
        <v>11</v>
      </c>
      <c r="B12" s="62" t="s">
        <v>12</v>
      </c>
      <c r="C12" s="62" t="s">
        <v>13</v>
      </c>
      <c r="D12" s="62" t="s">
        <v>14</v>
      </c>
      <c r="E12" s="60" t="s">
        <v>15</v>
      </c>
      <c r="F12" s="61"/>
    </row>
    <row r="13" spans="1:13" s="9" customFormat="1" ht="34.5" customHeight="1" x14ac:dyDescent="0.25">
      <c r="A13" s="63"/>
      <c r="B13" s="63"/>
      <c r="C13" s="63"/>
      <c r="D13" s="63"/>
      <c r="E13" s="10" t="s">
        <v>16</v>
      </c>
      <c r="F13" s="10" t="s">
        <v>17</v>
      </c>
    </row>
    <row r="14" spans="1:13" s="11" customFormat="1" x14ac:dyDescent="0.2">
      <c r="A14" s="16">
        <v>1</v>
      </c>
      <c r="B14" s="17">
        <v>2</v>
      </c>
      <c r="C14" s="17">
        <v>3</v>
      </c>
      <c r="D14" s="17">
        <v>4</v>
      </c>
      <c r="E14" s="17">
        <v>5</v>
      </c>
      <c r="F14" s="17">
        <v>6</v>
      </c>
    </row>
    <row r="15" spans="1:13" s="1" customFormat="1" x14ac:dyDescent="0.25">
      <c r="A15" s="18" t="s">
        <v>18</v>
      </c>
      <c r="B15" s="19" t="s">
        <v>19</v>
      </c>
      <c r="C15" s="19" t="s">
        <v>20</v>
      </c>
      <c r="D15" s="18" t="s">
        <v>21</v>
      </c>
      <c r="E15" s="64">
        <v>2.5000000000000001E-2</v>
      </c>
      <c r="F15" s="64"/>
      <c r="G15" s="20">
        <v>0</v>
      </c>
      <c r="H15" s="21">
        <f t="shared" ref="H15:H44" si="0">IF(ISNUMBER(G15),IF(F15="",E15*G15,F15*G15),0)</f>
        <v>0</v>
      </c>
      <c r="I15" s="22"/>
      <c r="J15" s="22"/>
      <c r="K15" s="22">
        <f>H15</f>
        <v>0</v>
      </c>
      <c r="L15" s="23"/>
      <c r="M15" s="23"/>
    </row>
    <row r="16" spans="1:13" s="12" customFormat="1" outlineLevel="1" x14ac:dyDescent="0.25">
      <c r="A16" s="24" t="s">
        <v>22</v>
      </c>
      <c r="B16" s="25" t="s">
        <v>18</v>
      </c>
      <c r="C16" s="26" t="s">
        <v>23</v>
      </c>
      <c r="D16" s="25" t="s">
        <v>24</v>
      </c>
      <c r="E16" s="27">
        <v>1588</v>
      </c>
      <c r="F16" s="28">
        <v>39.700000000000003</v>
      </c>
      <c r="G16" s="29">
        <v>29818.17</v>
      </c>
      <c r="H16" s="29">
        <f t="shared" si="0"/>
        <v>1183781.3489999999</v>
      </c>
      <c r="I16" s="30">
        <f>H16</f>
        <v>1183781.3489999999</v>
      </c>
      <c r="J16" s="30"/>
      <c r="K16" s="30"/>
    </row>
    <row r="17" spans="1:13" s="13" customFormat="1" outlineLevel="1" x14ac:dyDescent="0.25">
      <c r="A17" s="31" t="s">
        <v>25</v>
      </c>
      <c r="B17" s="32" t="s">
        <v>26</v>
      </c>
      <c r="C17" s="33" t="s">
        <v>27</v>
      </c>
      <c r="D17" s="32" t="s">
        <v>24</v>
      </c>
      <c r="E17" s="34">
        <v>110.15</v>
      </c>
      <c r="F17" s="34">
        <v>2.7538</v>
      </c>
      <c r="G17" s="35">
        <v>0</v>
      </c>
      <c r="H17" s="35">
        <f t="shared" si="0"/>
        <v>0</v>
      </c>
      <c r="I17" s="36"/>
      <c r="J17" s="36">
        <f t="shared" ref="J17:J23" si="1">H17</f>
        <v>0</v>
      </c>
      <c r="K17" s="36"/>
      <c r="L17" s="37"/>
      <c r="M17" s="37"/>
    </row>
    <row r="18" spans="1:13" s="14" customFormat="1" ht="24" customHeight="1" outlineLevel="1" x14ac:dyDescent="0.25">
      <c r="A18" s="38" t="s">
        <v>28</v>
      </c>
      <c r="B18" s="39" t="s">
        <v>29</v>
      </c>
      <c r="C18" s="40" t="s">
        <v>30</v>
      </c>
      <c r="D18" s="39" t="s">
        <v>31</v>
      </c>
      <c r="E18" s="41">
        <v>49.9</v>
      </c>
      <c r="F18" s="41">
        <v>1.2475000000000001</v>
      </c>
      <c r="G18" s="42">
        <v>153724</v>
      </c>
      <c r="H18" s="42">
        <f t="shared" si="0"/>
        <v>191770.69</v>
      </c>
      <c r="I18" s="43"/>
      <c r="J18" s="43">
        <f t="shared" si="1"/>
        <v>191770.69</v>
      </c>
      <c r="K18" s="43"/>
    </row>
    <row r="19" spans="1:13" s="14" customFormat="1" ht="24" customHeight="1" outlineLevel="1" x14ac:dyDescent="0.25">
      <c r="A19" s="38" t="s">
        <v>32</v>
      </c>
      <c r="B19" s="39" t="s">
        <v>33</v>
      </c>
      <c r="C19" s="40" t="s">
        <v>34</v>
      </c>
      <c r="D19" s="39" t="s">
        <v>31</v>
      </c>
      <c r="E19" s="41">
        <v>9.92</v>
      </c>
      <c r="F19" s="41">
        <v>0.248</v>
      </c>
      <c r="G19" s="42">
        <v>244250</v>
      </c>
      <c r="H19" s="42">
        <f t="shared" si="0"/>
        <v>60574</v>
      </c>
      <c r="I19" s="43"/>
      <c r="J19" s="43">
        <f t="shared" si="1"/>
        <v>60574</v>
      </c>
      <c r="K19" s="43"/>
    </row>
    <row r="20" spans="1:13" s="14" customFormat="1" ht="24" customHeight="1" outlineLevel="1" x14ac:dyDescent="0.25">
      <c r="A20" s="38" t="s">
        <v>35</v>
      </c>
      <c r="B20" s="39" t="s">
        <v>36</v>
      </c>
      <c r="C20" s="40" t="s">
        <v>37</v>
      </c>
      <c r="D20" s="39" t="s">
        <v>31</v>
      </c>
      <c r="E20" s="41">
        <v>20.57</v>
      </c>
      <c r="F20" s="41">
        <v>0.51424999999999998</v>
      </c>
      <c r="G20" s="42">
        <v>241677</v>
      </c>
      <c r="H20" s="42">
        <f t="shared" si="0"/>
        <v>124282.39724999999</v>
      </c>
      <c r="I20" s="43"/>
      <c r="J20" s="43">
        <f t="shared" si="1"/>
        <v>124282.39724999999</v>
      </c>
      <c r="K20" s="43"/>
    </row>
    <row r="21" spans="1:13" s="14" customFormat="1" ht="24" customHeight="1" outlineLevel="1" x14ac:dyDescent="0.25">
      <c r="A21" s="38" t="s">
        <v>38</v>
      </c>
      <c r="B21" s="39" t="s">
        <v>39</v>
      </c>
      <c r="C21" s="40" t="s">
        <v>40</v>
      </c>
      <c r="D21" s="39" t="s">
        <v>31</v>
      </c>
      <c r="E21" s="41">
        <v>146.94</v>
      </c>
      <c r="F21" s="41">
        <v>3.6735000000000002</v>
      </c>
      <c r="G21" s="42">
        <v>3477</v>
      </c>
      <c r="H21" s="42">
        <f t="shared" si="0"/>
        <v>12772.7595</v>
      </c>
      <c r="I21" s="43"/>
      <c r="J21" s="43">
        <f t="shared" si="1"/>
        <v>12772.7595</v>
      </c>
      <c r="K21" s="43"/>
    </row>
    <row r="22" spans="1:13" s="14" customFormat="1" outlineLevel="1" x14ac:dyDescent="0.25">
      <c r="A22" s="38" t="s">
        <v>41</v>
      </c>
      <c r="B22" s="39" t="s">
        <v>42</v>
      </c>
      <c r="C22" s="40" t="s">
        <v>43</v>
      </c>
      <c r="D22" s="39" t="s">
        <v>31</v>
      </c>
      <c r="E22" s="41">
        <v>52.61</v>
      </c>
      <c r="F22" s="41">
        <v>1.3152999999999999</v>
      </c>
      <c r="G22" s="42">
        <v>1592</v>
      </c>
      <c r="H22" s="42">
        <f t="shared" si="0"/>
        <v>2093.9575999999997</v>
      </c>
      <c r="I22" s="43"/>
      <c r="J22" s="43">
        <f t="shared" si="1"/>
        <v>2093.9575999999997</v>
      </c>
      <c r="K22" s="43"/>
    </row>
    <row r="23" spans="1:13" s="14" customFormat="1" outlineLevel="1" x14ac:dyDescent="0.25">
      <c r="A23" s="38" t="s">
        <v>44</v>
      </c>
      <c r="B23" s="39" t="s">
        <v>45</v>
      </c>
      <c r="C23" s="40" t="s">
        <v>46</v>
      </c>
      <c r="D23" s="39" t="s">
        <v>31</v>
      </c>
      <c r="E23" s="41">
        <v>29.76</v>
      </c>
      <c r="F23" s="41">
        <v>0.74399999999999999</v>
      </c>
      <c r="G23" s="42">
        <v>107615</v>
      </c>
      <c r="H23" s="42">
        <f t="shared" si="0"/>
        <v>80065.56</v>
      </c>
      <c r="I23" s="43"/>
      <c r="J23" s="43">
        <f t="shared" si="1"/>
        <v>80065.56</v>
      </c>
      <c r="K23" s="43"/>
    </row>
    <row r="24" spans="1:13" s="13" customFormat="1" outlineLevel="1" x14ac:dyDescent="0.25">
      <c r="A24" s="44" t="s">
        <v>47</v>
      </c>
      <c r="B24" s="45" t="s">
        <v>48</v>
      </c>
      <c r="C24" s="46" t="s">
        <v>49</v>
      </c>
      <c r="D24" s="45" t="s">
        <v>50</v>
      </c>
      <c r="E24" s="47">
        <v>101.5</v>
      </c>
      <c r="F24" s="47">
        <v>2.5375000000000001</v>
      </c>
      <c r="G24" s="48">
        <v>485994</v>
      </c>
      <c r="H24" s="48">
        <f t="shared" si="0"/>
        <v>1233209.7750000001</v>
      </c>
      <c r="I24" s="49"/>
      <c r="J24" s="49"/>
      <c r="K24" s="49">
        <f t="shared" ref="K24:K33" si="2">H24</f>
        <v>1233209.7750000001</v>
      </c>
    </row>
    <row r="25" spans="1:13" s="13" customFormat="1" outlineLevel="1" x14ac:dyDescent="0.25">
      <c r="A25" s="44" t="s">
        <v>51</v>
      </c>
      <c r="B25" s="45" t="s">
        <v>52</v>
      </c>
      <c r="C25" s="46" t="s">
        <v>53</v>
      </c>
      <c r="D25" s="45" t="s">
        <v>50</v>
      </c>
      <c r="E25" s="47">
        <v>5.7</v>
      </c>
      <c r="F25" s="47">
        <v>0.14249999999999999</v>
      </c>
      <c r="G25" s="48">
        <v>416964</v>
      </c>
      <c r="H25" s="48">
        <f t="shared" si="0"/>
        <v>59417.369999999995</v>
      </c>
      <c r="I25" s="49"/>
      <c r="J25" s="49"/>
      <c r="K25" s="49">
        <f t="shared" si="2"/>
        <v>59417.369999999995</v>
      </c>
    </row>
    <row r="26" spans="1:13" s="13" customFormat="1" outlineLevel="1" x14ac:dyDescent="0.25">
      <c r="A26" s="44" t="s">
        <v>54</v>
      </c>
      <c r="B26" s="45" t="s">
        <v>55</v>
      </c>
      <c r="C26" s="46" t="s">
        <v>56</v>
      </c>
      <c r="D26" s="45" t="s">
        <v>50</v>
      </c>
      <c r="E26" s="50">
        <v>175</v>
      </c>
      <c r="F26" s="47">
        <v>4.375</v>
      </c>
      <c r="G26" s="48">
        <v>1000</v>
      </c>
      <c r="H26" s="48">
        <f t="shared" si="0"/>
        <v>4375</v>
      </c>
      <c r="I26" s="49"/>
      <c r="J26" s="49"/>
      <c r="K26" s="49">
        <f t="shared" si="2"/>
        <v>4375</v>
      </c>
    </row>
    <row r="27" spans="1:13" s="13" customFormat="1" outlineLevel="1" x14ac:dyDescent="0.25">
      <c r="A27" s="44" t="s">
        <v>57</v>
      </c>
      <c r="B27" s="45" t="s">
        <v>58</v>
      </c>
      <c r="C27" s="46" t="s">
        <v>59</v>
      </c>
      <c r="D27" s="45" t="s">
        <v>60</v>
      </c>
      <c r="E27" s="47">
        <v>0.52</v>
      </c>
      <c r="F27" s="47">
        <v>1.2999999999999999E-2</v>
      </c>
      <c r="G27" s="48">
        <v>9652145</v>
      </c>
      <c r="H27" s="48">
        <f t="shared" si="0"/>
        <v>125477.88499999999</v>
      </c>
      <c r="I27" s="49"/>
      <c r="J27" s="49"/>
      <c r="K27" s="49">
        <f t="shared" si="2"/>
        <v>125477.88499999999</v>
      </c>
    </row>
    <row r="28" spans="1:13" s="13" customFormat="1" outlineLevel="1" x14ac:dyDescent="0.25">
      <c r="A28" s="44" t="s">
        <v>61</v>
      </c>
      <c r="B28" s="45" t="s">
        <v>62</v>
      </c>
      <c r="C28" s="46" t="s">
        <v>63</v>
      </c>
      <c r="D28" s="45" t="s">
        <v>60</v>
      </c>
      <c r="E28" s="47">
        <v>6.5000000000000002E-2</v>
      </c>
      <c r="F28" s="47">
        <v>1.6249999999999999E-3</v>
      </c>
      <c r="G28" s="48">
        <v>9108927</v>
      </c>
      <c r="H28" s="48">
        <f t="shared" si="0"/>
        <v>14802.006374999999</v>
      </c>
      <c r="I28" s="49"/>
      <c r="J28" s="49"/>
      <c r="K28" s="49">
        <f t="shared" si="2"/>
        <v>14802.006374999999</v>
      </c>
    </row>
    <row r="29" spans="1:13" s="13" customFormat="1" ht="24" customHeight="1" outlineLevel="1" x14ac:dyDescent="0.25">
      <c r="A29" s="44" t="s">
        <v>64</v>
      </c>
      <c r="B29" s="45" t="s">
        <v>65</v>
      </c>
      <c r="C29" s="46" t="s">
        <v>66</v>
      </c>
      <c r="D29" s="45" t="s">
        <v>50</v>
      </c>
      <c r="E29" s="47">
        <v>3.06</v>
      </c>
      <c r="F29" s="47">
        <v>7.6499999999999999E-2</v>
      </c>
      <c r="G29" s="48">
        <v>3660714</v>
      </c>
      <c r="H29" s="48">
        <f t="shared" si="0"/>
        <v>280044.62099999998</v>
      </c>
      <c r="I29" s="49"/>
      <c r="J29" s="49"/>
      <c r="K29" s="49">
        <f t="shared" si="2"/>
        <v>280044.62099999998</v>
      </c>
    </row>
    <row r="30" spans="1:13" s="13" customFormat="1" ht="24" customHeight="1" outlineLevel="1" x14ac:dyDescent="0.25">
      <c r="A30" s="44" t="s">
        <v>67</v>
      </c>
      <c r="B30" s="45" t="s">
        <v>68</v>
      </c>
      <c r="C30" s="46" t="s">
        <v>69</v>
      </c>
      <c r="D30" s="45" t="s">
        <v>50</v>
      </c>
      <c r="E30" s="47">
        <v>7.14</v>
      </c>
      <c r="F30" s="47">
        <v>0.17849999999999999</v>
      </c>
      <c r="G30" s="48">
        <v>3660714</v>
      </c>
      <c r="H30" s="48">
        <f t="shared" si="0"/>
        <v>653437.44900000002</v>
      </c>
      <c r="I30" s="49"/>
      <c r="J30" s="49"/>
      <c r="K30" s="49">
        <f t="shared" si="2"/>
        <v>653437.44900000002</v>
      </c>
    </row>
    <row r="31" spans="1:13" s="13" customFormat="1" outlineLevel="1" x14ac:dyDescent="0.25">
      <c r="A31" s="44" t="s">
        <v>70</v>
      </c>
      <c r="B31" s="45" t="s">
        <v>71</v>
      </c>
      <c r="C31" s="46" t="s">
        <v>72</v>
      </c>
      <c r="D31" s="45" t="s">
        <v>73</v>
      </c>
      <c r="E31" s="47">
        <v>22.7</v>
      </c>
      <c r="F31" s="47">
        <v>0.5675</v>
      </c>
      <c r="G31" s="48">
        <v>105000</v>
      </c>
      <c r="H31" s="48">
        <f t="shared" si="0"/>
        <v>59587.5</v>
      </c>
      <c r="I31" s="49"/>
      <c r="J31" s="49"/>
      <c r="K31" s="49">
        <f t="shared" si="2"/>
        <v>59587.5</v>
      </c>
    </row>
    <row r="32" spans="1:13" s="13" customFormat="1" outlineLevel="1" x14ac:dyDescent="0.25">
      <c r="A32" s="44" t="s">
        <v>74</v>
      </c>
      <c r="B32" s="45" t="s">
        <v>75</v>
      </c>
      <c r="C32" s="46" t="s">
        <v>76</v>
      </c>
      <c r="D32" s="45" t="s">
        <v>77</v>
      </c>
      <c r="E32" s="47">
        <v>237.2</v>
      </c>
      <c r="F32" s="47">
        <v>5.93</v>
      </c>
      <c r="G32" s="48">
        <v>45000</v>
      </c>
      <c r="H32" s="48">
        <f t="shared" si="0"/>
        <v>266850</v>
      </c>
      <c r="I32" s="49"/>
      <c r="J32" s="49"/>
      <c r="K32" s="49">
        <f t="shared" si="2"/>
        <v>266850</v>
      </c>
    </row>
    <row r="33" spans="1:17" s="1" customFormat="1" x14ac:dyDescent="0.25">
      <c r="A33" s="18" t="s">
        <v>78</v>
      </c>
      <c r="B33" s="19" t="s">
        <v>79</v>
      </c>
      <c r="C33" s="19" t="s">
        <v>80</v>
      </c>
      <c r="D33" s="18" t="s">
        <v>60</v>
      </c>
      <c r="E33" s="64">
        <v>0.95299999999999996</v>
      </c>
      <c r="F33" s="64"/>
      <c r="G33" s="20">
        <v>0</v>
      </c>
      <c r="H33" s="21">
        <f t="shared" si="0"/>
        <v>0</v>
      </c>
      <c r="I33" s="22"/>
      <c r="J33" s="22"/>
      <c r="K33" s="22">
        <f t="shared" si="2"/>
        <v>0</v>
      </c>
      <c r="L33" s="23"/>
      <c r="M33" s="23"/>
    </row>
    <row r="34" spans="1:17" s="12" customFormat="1" outlineLevel="1" x14ac:dyDescent="0.25">
      <c r="A34" s="24" t="s">
        <v>81</v>
      </c>
      <c r="B34" s="25" t="s">
        <v>18</v>
      </c>
      <c r="C34" s="26" t="s">
        <v>23</v>
      </c>
      <c r="D34" s="25" t="s">
        <v>24</v>
      </c>
      <c r="E34" s="28">
        <v>66.489999999999995</v>
      </c>
      <c r="F34" s="28">
        <v>63.365000000000002</v>
      </c>
      <c r="G34" s="29">
        <v>29818.17</v>
      </c>
      <c r="H34" s="29">
        <f t="shared" si="0"/>
        <v>1889428.3420499999</v>
      </c>
      <c r="I34" s="30">
        <f>H34</f>
        <v>1889428.3420499999</v>
      </c>
      <c r="J34" s="30"/>
      <c r="K34" s="30"/>
    </row>
    <row r="35" spans="1:17" s="13" customFormat="1" outlineLevel="1" x14ac:dyDescent="0.25">
      <c r="A35" s="31" t="s">
        <v>82</v>
      </c>
      <c r="B35" s="32" t="s">
        <v>26</v>
      </c>
      <c r="C35" s="33" t="s">
        <v>27</v>
      </c>
      <c r="D35" s="32" t="s">
        <v>24</v>
      </c>
      <c r="E35" s="34">
        <v>0.01</v>
      </c>
      <c r="F35" s="34">
        <v>9.5300000000000003E-3</v>
      </c>
      <c r="G35" s="35">
        <v>0</v>
      </c>
      <c r="H35" s="35">
        <f t="shared" si="0"/>
        <v>0</v>
      </c>
      <c r="I35" s="36"/>
      <c r="J35" s="36">
        <f>H35</f>
        <v>0</v>
      </c>
      <c r="K35" s="36"/>
      <c r="L35" s="37"/>
      <c r="M35" s="37"/>
    </row>
    <row r="36" spans="1:17" s="14" customFormat="1" outlineLevel="1" x14ac:dyDescent="0.25">
      <c r="A36" s="38" t="s">
        <v>83</v>
      </c>
      <c r="B36" s="39" t="s">
        <v>84</v>
      </c>
      <c r="C36" s="40" t="s">
        <v>85</v>
      </c>
      <c r="D36" s="39" t="s">
        <v>31</v>
      </c>
      <c r="E36" s="41">
        <v>0.33</v>
      </c>
      <c r="F36" s="41">
        <v>0.31448999999999999</v>
      </c>
      <c r="G36" s="42">
        <v>2203</v>
      </c>
      <c r="H36" s="42">
        <f t="shared" si="0"/>
        <v>692.82146999999998</v>
      </c>
      <c r="I36" s="43"/>
      <c r="J36" s="43">
        <f>H36</f>
        <v>692.82146999999998</v>
      </c>
      <c r="K36" s="43"/>
    </row>
    <row r="37" spans="1:17" s="14" customFormat="1" outlineLevel="1" x14ac:dyDescent="0.25">
      <c r="A37" s="38" t="s">
        <v>86</v>
      </c>
      <c r="B37" s="39" t="s">
        <v>87</v>
      </c>
      <c r="C37" s="40" t="s">
        <v>88</v>
      </c>
      <c r="D37" s="39" t="s">
        <v>31</v>
      </c>
      <c r="E37" s="41">
        <v>3.98</v>
      </c>
      <c r="F37" s="41">
        <v>3.7928999999999999</v>
      </c>
      <c r="G37" s="42">
        <v>2033</v>
      </c>
      <c r="H37" s="42">
        <f t="shared" si="0"/>
        <v>7710.9656999999997</v>
      </c>
      <c r="I37" s="43"/>
      <c r="J37" s="43">
        <f>H37</f>
        <v>7710.9656999999997</v>
      </c>
      <c r="K37" s="43"/>
    </row>
    <row r="38" spans="1:17" s="14" customFormat="1" outlineLevel="1" x14ac:dyDescent="0.25">
      <c r="A38" s="38" t="s">
        <v>89</v>
      </c>
      <c r="B38" s="39" t="s">
        <v>90</v>
      </c>
      <c r="C38" s="40" t="s">
        <v>91</v>
      </c>
      <c r="D38" s="39" t="s">
        <v>31</v>
      </c>
      <c r="E38" s="41">
        <v>0.19</v>
      </c>
      <c r="F38" s="41">
        <v>0.18107000000000001</v>
      </c>
      <c r="G38" s="42">
        <v>7132</v>
      </c>
      <c r="H38" s="42">
        <f t="shared" si="0"/>
        <v>1291.3912400000002</v>
      </c>
      <c r="I38" s="43"/>
      <c r="J38" s="43">
        <f>H38</f>
        <v>1291.3912400000002</v>
      </c>
      <c r="K38" s="43"/>
    </row>
    <row r="39" spans="1:17" s="14" customFormat="1" outlineLevel="1" x14ac:dyDescent="0.25">
      <c r="A39" s="38" t="s">
        <v>92</v>
      </c>
      <c r="B39" s="39" t="s">
        <v>45</v>
      </c>
      <c r="C39" s="40" t="s">
        <v>46</v>
      </c>
      <c r="D39" s="39" t="s">
        <v>31</v>
      </c>
      <c r="E39" s="41">
        <v>0.01</v>
      </c>
      <c r="F39" s="41">
        <v>9.5300000000000003E-3</v>
      </c>
      <c r="G39" s="42">
        <v>107615</v>
      </c>
      <c r="H39" s="42">
        <f t="shared" si="0"/>
        <v>1025.57095</v>
      </c>
      <c r="I39" s="43"/>
      <c r="J39" s="43">
        <f>H39</f>
        <v>1025.57095</v>
      </c>
      <c r="K39" s="43"/>
    </row>
    <row r="40" spans="1:17" s="13" customFormat="1" outlineLevel="1" x14ac:dyDescent="0.25">
      <c r="A40" s="44" t="s">
        <v>93</v>
      </c>
      <c r="B40" s="45" t="s">
        <v>94</v>
      </c>
      <c r="C40" s="46" t="s">
        <v>95</v>
      </c>
      <c r="D40" s="45" t="s">
        <v>60</v>
      </c>
      <c r="E40" s="47">
        <v>2.4E-2</v>
      </c>
      <c r="F40" s="47">
        <v>2.2872E-2</v>
      </c>
      <c r="G40" s="48">
        <v>10500000</v>
      </c>
      <c r="H40" s="48">
        <f t="shared" si="0"/>
        <v>240156</v>
      </c>
      <c r="I40" s="49"/>
      <c r="J40" s="49"/>
      <c r="K40" s="49">
        <f>H40</f>
        <v>240156</v>
      </c>
    </row>
    <row r="41" spans="1:17" s="13" customFormat="1" outlineLevel="1" x14ac:dyDescent="0.25">
      <c r="A41" s="44" t="s">
        <v>96</v>
      </c>
      <c r="B41" s="45" t="s">
        <v>97</v>
      </c>
      <c r="C41" s="46" t="s">
        <v>98</v>
      </c>
      <c r="D41" s="45" t="s">
        <v>60</v>
      </c>
      <c r="E41" s="47">
        <v>8.0000000000000002E-3</v>
      </c>
      <c r="F41" s="47">
        <v>7.6239999999999997E-3</v>
      </c>
      <c r="G41" s="48">
        <v>12000000</v>
      </c>
      <c r="H41" s="48">
        <f t="shared" si="0"/>
        <v>91488</v>
      </c>
      <c r="I41" s="49"/>
      <c r="J41" s="49"/>
      <c r="K41" s="49">
        <f>H41</f>
        <v>91488</v>
      </c>
    </row>
    <row r="42" spans="1:17" s="13" customFormat="1" outlineLevel="1" x14ac:dyDescent="0.25">
      <c r="A42" s="44" t="s">
        <v>99</v>
      </c>
      <c r="B42" s="45" t="s">
        <v>100</v>
      </c>
      <c r="C42" s="46" t="s">
        <v>101</v>
      </c>
      <c r="D42" s="45" t="s">
        <v>60</v>
      </c>
      <c r="E42" s="47">
        <v>6.9999999999999999E-4</v>
      </c>
      <c r="F42" s="47">
        <v>6.6710000000000001E-4</v>
      </c>
      <c r="G42" s="48">
        <v>11250000</v>
      </c>
      <c r="H42" s="48">
        <f t="shared" si="0"/>
        <v>7504.875</v>
      </c>
      <c r="I42" s="49"/>
      <c r="J42" s="49"/>
      <c r="K42" s="49">
        <f>H42</f>
        <v>7504.875</v>
      </c>
    </row>
    <row r="43" spans="1:17" s="13" customFormat="1" outlineLevel="1" x14ac:dyDescent="0.25">
      <c r="A43" s="44" t="s">
        <v>102</v>
      </c>
      <c r="B43" s="45" t="s">
        <v>103</v>
      </c>
      <c r="C43" s="46" t="s">
        <v>104</v>
      </c>
      <c r="D43" s="45" t="s">
        <v>105</v>
      </c>
      <c r="E43" s="47">
        <v>6.5</v>
      </c>
      <c r="F43" s="47">
        <v>6.1944999999999997</v>
      </c>
      <c r="G43" s="48">
        <v>15000</v>
      </c>
      <c r="H43" s="48">
        <f t="shared" si="0"/>
        <v>92917.5</v>
      </c>
      <c r="I43" s="49"/>
      <c r="J43" s="49"/>
      <c r="K43" s="49">
        <f>H43</f>
        <v>92917.5</v>
      </c>
    </row>
    <row r="44" spans="1:17" s="13" customFormat="1" outlineLevel="1" x14ac:dyDescent="0.25">
      <c r="A44" s="44" t="s">
        <v>106</v>
      </c>
      <c r="B44" s="45" t="s">
        <v>107</v>
      </c>
      <c r="C44" s="46" t="s">
        <v>108</v>
      </c>
      <c r="D44" s="45" t="s">
        <v>60</v>
      </c>
      <c r="E44" s="50">
        <v>1</v>
      </c>
      <c r="F44" s="47">
        <v>0.95299999999999996</v>
      </c>
      <c r="G44" s="48">
        <v>12500000</v>
      </c>
      <c r="H44" s="48">
        <f t="shared" si="0"/>
        <v>11912500</v>
      </c>
      <c r="I44" s="49"/>
      <c r="J44" s="49"/>
      <c r="K44" s="49">
        <f>H44</f>
        <v>11912500</v>
      </c>
    </row>
    <row r="45" spans="1:17" s="1" customFormat="1" ht="13.5" customHeight="1" thickBot="1" x14ac:dyDescent="0.3">
      <c r="A45" s="69"/>
      <c r="B45" s="70"/>
      <c r="C45" s="70"/>
      <c r="D45" s="70"/>
      <c r="E45" s="70"/>
      <c r="F45" s="71"/>
      <c r="H45" s="51">
        <f t="shared" ref="H45:Q45" si="3">SUM(H15:H44)</f>
        <v>18597257.786134999</v>
      </c>
      <c r="I45" s="51">
        <f t="shared" si="3"/>
        <v>3073209.6910499996</v>
      </c>
      <c r="J45" s="51">
        <f t="shared" si="3"/>
        <v>482280.11371000006</v>
      </c>
      <c r="K45" s="51">
        <f t="shared" si="3"/>
        <v>15041767.981375001</v>
      </c>
      <c r="L45" s="51">
        <f t="shared" si="3"/>
        <v>0</v>
      </c>
      <c r="M45" s="51">
        <f t="shared" si="3"/>
        <v>0</v>
      </c>
      <c r="N45" s="51">
        <f t="shared" si="3"/>
        <v>0</v>
      </c>
      <c r="O45" s="51">
        <f t="shared" si="3"/>
        <v>0</v>
      </c>
      <c r="P45" s="51">
        <f t="shared" si="3"/>
        <v>0</v>
      </c>
      <c r="Q45" s="51">
        <f t="shared" si="3"/>
        <v>0</v>
      </c>
    </row>
    <row r="46" spans="1:17" x14ac:dyDescent="0.2">
      <c r="A46" s="52"/>
      <c r="B46" s="52"/>
      <c r="C46" s="53" t="s">
        <v>109</v>
      </c>
      <c r="D46" s="54"/>
      <c r="E46" s="52"/>
      <c r="F46" s="52"/>
      <c r="G46" s="52"/>
      <c r="H46" s="55">
        <f>I45</f>
        <v>3073209.6910499996</v>
      </c>
    </row>
    <row r="47" spans="1:17" x14ac:dyDescent="0.2">
      <c r="A47" s="52"/>
      <c r="B47" s="52"/>
      <c r="C47" s="53" t="s">
        <v>110</v>
      </c>
      <c r="D47" s="54"/>
      <c r="E47" s="52"/>
      <c r="F47" s="52"/>
      <c r="G47" s="52"/>
      <c r="H47" s="55">
        <f>J45</f>
        <v>482280.11371000006</v>
      </c>
    </row>
    <row r="48" spans="1:17" x14ac:dyDescent="0.2">
      <c r="A48" s="52"/>
      <c r="B48" s="52"/>
      <c r="C48" s="53" t="s">
        <v>111</v>
      </c>
      <c r="D48" s="54"/>
      <c r="E48" s="52"/>
      <c r="F48" s="52"/>
      <c r="G48" s="52"/>
      <c r="H48" s="55">
        <f>K45</f>
        <v>15041767.981375001</v>
      </c>
    </row>
    <row r="49" spans="1:8" x14ac:dyDescent="0.2">
      <c r="A49" s="52"/>
      <c r="B49" s="52"/>
      <c r="C49" s="53" t="s">
        <v>112</v>
      </c>
      <c r="D49" s="56">
        <v>0.03</v>
      </c>
      <c r="E49" s="52"/>
      <c r="F49" s="52"/>
      <c r="G49" s="52"/>
      <c r="H49" s="55">
        <f>H48*D49</f>
        <v>451253.03944125003</v>
      </c>
    </row>
    <row r="50" spans="1:8" x14ac:dyDescent="0.2">
      <c r="A50" s="52"/>
      <c r="B50" s="52"/>
      <c r="C50" s="53" t="s">
        <v>113</v>
      </c>
      <c r="D50" s="54"/>
      <c r="E50" s="52"/>
      <c r="F50" s="52"/>
      <c r="G50" s="52"/>
      <c r="H50" s="55">
        <f>L45</f>
        <v>0</v>
      </c>
    </row>
    <row r="51" spans="1:8" x14ac:dyDescent="0.2">
      <c r="A51" s="52"/>
      <c r="B51" s="52"/>
      <c r="C51" s="53" t="s">
        <v>114</v>
      </c>
      <c r="D51" s="56">
        <v>0.02</v>
      </c>
      <c r="E51" s="52"/>
      <c r="F51" s="52"/>
      <c r="G51" s="52"/>
      <c r="H51" s="55">
        <f>H50*D51</f>
        <v>0</v>
      </c>
    </row>
    <row r="52" spans="1:8" x14ac:dyDescent="0.2">
      <c r="A52" s="52"/>
      <c r="B52" s="52"/>
      <c r="C52" s="53" t="s">
        <v>115</v>
      </c>
      <c r="D52" s="54"/>
      <c r="E52" s="52"/>
      <c r="F52" s="52"/>
      <c r="G52" s="52"/>
      <c r="H52" s="55">
        <f>M45</f>
        <v>0</v>
      </c>
    </row>
    <row r="53" spans="1:8" x14ac:dyDescent="0.2">
      <c r="A53" s="52"/>
      <c r="B53" s="52"/>
      <c r="C53" s="53" t="s">
        <v>116</v>
      </c>
      <c r="D53" s="56">
        <v>0.02</v>
      </c>
      <c r="E53" s="52"/>
      <c r="F53" s="52"/>
      <c r="G53" s="52"/>
      <c r="H53" s="55">
        <f>H52*D53</f>
        <v>0</v>
      </c>
    </row>
    <row r="54" spans="1:8" x14ac:dyDescent="0.2">
      <c r="A54" s="52"/>
      <c r="B54" s="52"/>
      <c r="C54" s="53" t="s">
        <v>117</v>
      </c>
      <c r="D54" s="54"/>
      <c r="E54" s="52"/>
      <c r="F54" s="52"/>
      <c r="G54" s="52"/>
      <c r="H54" s="55">
        <f>SUM(H46:H53)</f>
        <v>19048510.825576253</v>
      </c>
    </row>
    <row r="55" spans="1:8" x14ac:dyDescent="0.2">
      <c r="A55" s="52"/>
      <c r="B55" s="52"/>
      <c r="C55" s="53" t="s">
        <v>118</v>
      </c>
      <c r="D55" s="56">
        <v>0.19</v>
      </c>
      <c r="E55" s="52"/>
      <c r="F55" s="52"/>
      <c r="G55" s="52"/>
      <c r="H55" s="55">
        <f>(H54-H53-H52)*D55</f>
        <v>3619217.0568594881</v>
      </c>
    </row>
    <row r="56" spans="1:8" x14ac:dyDescent="0.2">
      <c r="A56" s="52"/>
      <c r="B56" s="52"/>
      <c r="C56" s="53" t="s">
        <v>119</v>
      </c>
      <c r="D56" s="56">
        <v>3.2000000000000002E-3</v>
      </c>
      <c r="E56" s="52"/>
      <c r="F56" s="52"/>
      <c r="G56" s="52"/>
      <c r="H56" s="55">
        <f>(H55+H54)*D56</f>
        <v>72536.729223794377</v>
      </c>
    </row>
    <row r="57" spans="1:8" x14ac:dyDescent="0.2">
      <c r="A57" s="52"/>
      <c r="B57" s="52"/>
      <c r="C57" s="53" t="s">
        <v>120</v>
      </c>
      <c r="D57" s="54"/>
      <c r="E57" s="52"/>
      <c r="F57" s="52"/>
      <c r="G57" s="52"/>
      <c r="H57" s="55">
        <f>H56+H55+H54</f>
        <v>22740264.611659534</v>
      </c>
    </row>
    <row r="58" spans="1:8" x14ac:dyDescent="0.2">
      <c r="A58" s="52"/>
      <c r="B58" s="52"/>
      <c r="C58" s="53" t="s">
        <v>121</v>
      </c>
      <c r="D58" s="56">
        <v>0.12</v>
      </c>
      <c r="E58" s="52"/>
      <c r="F58" s="52"/>
      <c r="G58" s="52"/>
      <c r="H58" s="55">
        <f>H57*(1+D58)</f>
        <v>25469096.365058679</v>
      </c>
    </row>
  </sheetData>
  <mergeCells count="15">
    <mergeCell ref="A45:F45"/>
    <mergeCell ref="C11:F11"/>
    <mergeCell ref="A12:A13"/>
    <mergeCell ref="C12:C13"/>
    <mergeCell ref="D12:D13"/>
    <mergeCell ref="B8:F8"/>
    <mergeCell ref="D5:F5"/>
    <mergeCell ref="B9:F9"/>
    <mergeCell ref="B6:F6"/>
    <mergeCell ref="E12:F12"/>
    <mergeCell ref="B12:B13"/>
    <mergeCell ref="E33:F33"/>
    <mergeCell ref="B3:F3"/>
    <mergeCell ref="B2:F2"/>
    <mergeCell ref="E15:F15"/>
  </mergeCells>
  <conditionalFormatting sqref="G15:G44">
    <cfRule type="expression" dxfId="0" priority="1" stopIfTrue="1">
      <formula>AND(G15&lt;&gt;"",NOT(ISNUMBER(G15)))</formula>
    </cfRule>
  </conditionalFormatting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2026.4)&amp;Ц&amp;С&amp;П202611450</oddHeader>
    <oddFooter>&amp;ЦСтраниц - &amp;К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customWidth="1"/>
    <col min="2" max="2" width="60.7109375" customWidth="1"/>
    <col min="3" max="3" width="19.140625" customWidth="1"/>
    <col min="4" max="4" width="13.85546875" customWidth="1"/>
    <col min="5" max="5" width="15.42578125" customWidth="1"/>
    <col min="6" max="6" width="60.7109375" customWidth="1"/>
    <col min="7" max="7" width="14.140625" customWidth="1"/>
    <col min="8" max="8" width="15.42578125" customWidth="1"/>
    <col min="9" max="9" width="16.7109375" customWidth="1"/>
    <col min="10" max="10" width="10.5703125" customWidth="1"/>
    <col min="11" max="11" width="50.140625" customWidth="1"/>
  </cols>
  <sheetData>
    <row r="1" spans="1:11" ht="21.95" customHeight="1" x14ac:dyDescent="0.25">
      <c r="A1" s="57" t="s">
        <v>122</v>
      </c>
      <c r="B1" s="57" t="s">
        <v>123</v>
      </c>
      <c r="C1" s="57" t="s">
        <v>124</v>
      </c>
      <c r="D1" s="57" t="s">
        <v>125</v>
      </c>
      <c r="E1" s="57" t="s">
        <v>126</v>
      </c>
      <c r="F1" s="57" t="s">
        <v>127</v>
      </c>
      <c r="G1" s="57" t="s">
        <v>128</v>
      </c>
      <c r="H1" s="57" t="s">
        <v>129</v>
      </c>
      <c r="I1" s="57" t="s">
        <v>130</v>
      </c>
      <c r="J1" s="57" t="s">
        <v>131</v>
      </c>
      <c r="K1" s="57" t="s">
        <v>132</v>
      </c>
    </row>
    <row r="2" spans="1:11" x14ac:dyDescent="0.25">
      <c r="A2" s="58">
        <v>15</v>
      </c>
      <c r="B2" s="58" t="s">
        <v>20</v>
      </c>
      <c r="C2" s="58" t="s">
        <v>21</v>
      </c>
      <c r="D2" s="58" t="s">
        <v>133</v>
      </c>
      <c r="E2" s="58"/>
      <c r="F2" s="58"/>
      <c r="G2" s="58"/>
      <c r="H2" s="58"/>
      <c r="I2" s="58"/>
      <c r="J2" s="58">
        <v>0</v>
      </c>
      <c r="K2" s="58" t="s">
        <v>134</v>
      </c>
    </row>
    <row r="3" spans="1:11" x14ac:dyDescent="0.25">
      <c r="A3" s="59">
        <v>16</v>
      </c>
      <c r="B3" s="59" t="s">
        <v>23</v>
      </c>
      <c r="C3" s="59" t="s">
        <v>24</v>
      </c>
      <c r="D3" s="59" t="s">
        <v>135</v>
      </c>
      <c r="E3" s="59" t="s">
        <v>136</v>
      </c>
      <c r="F3" s="59" t="s">
        <v>137</v>
      </c>
      <c r="G3" s="59">
        <v>1</v>
      </c>
      <c r="H3" s="59"/>
      <c r="I3" s="59"/>
      <c r="J3" s="59">
        <v>29818.17</v>
      </c>
      <c r="K3" s="59"/>
    </row>
    <row r="4" spans="1:11" x14ac:dyDescent="0.25">
      <c r="A4" s="58">
        <v>17</v>
      </c>
      <c r="B4" s="58" t="s">
        <v>27</v>
      </c>
      <c r="C4" s="58" t="s">
        <v>24</v>
      </c>
      <c r="D4" s="58" t="s">
        <v>138</v>
      </c>
      <c r="E4" s="58" t="s">
        <v>136</v>
      </c>
      <c r="F4" s="58" t="s">
        <v>139</v>
      </c>
      <c r="G4" s="58">
        <v>1</v>
      </c>
      <c r="H4" s="58"/>
      <c r="I4" s="58"/>
      <c r="J4" s="58">
        <v>0</v>
      </c>
      <c r="K4" s="58" t="s">
        <v>140</v>
      </c>
    </row>
    <row r="5" spans="1:11" x14ac:dyDescent="0.25">
      <c r="A5" s="59">
        <v>18</v>
      </c>
      <c r="B5" s="59" t="s">
        <v>30</v>
      </c>
      <c r="C5" s="59" t="s">
        <v>31</v>
      </c>
      <c r="D5" s="59" t="s">
        <v>135</v>
      </c>
      <c r="E5" s="59" t="s">
        <v>141</v>
      </c>
      <c r="F5" s="59" t="s">
        <v>142</v>
      </c>
      <c r="G5" s="59">
        <v>1</v>
      </c>
      <c r="H5" s="59"/>
      <c r="I5" s="59"/>
      <c r="J5" s="59">
        <v>153724</v>
      </c>
      <c r="K5" s="59"/>
    </row>
    <row r="6" spans="1:11" x14ac:dyDescent="0.25">
      <c r="A6" s="59">
        <v>19</v>
      </c>
      <c r="B6" s="59" t="s">
        <v>34</v>
      </c>
      <c r="C6" s="59" t="s">
        <v>31</v>
      </c>
      <c r="D6" s="59" t="s">
        <v>135</v>
      </c>
      <c r="E6" s="59" t="s">
        <v>141</v>
      </c>
      <c r="F6" s="59" t="s">
        <v>143</v>
      </c>
      <c r="G6" s="59">
        <v>1</v>
      </c>
      <c r="H6" s="59"/>
      <c r="I6" s="59"/>
      <c r="J6" s="59">
        <v>244250</v>
      </c>
      <c r="K6" s="59"/>
    </row>
    <row r="7" spans="1:11" x14ac:dyDescent="0.25">
      <c r="A7" s="59">
        <v>20</v>
      </c>
      <c r="B7" s="59" t="s">
        <v>37</v>
      </c>
      <c r="C7" s="59" t="s">
        <v>31</v>
      </c>
      <c r="D7" s="59" t="s">
        <v>135</v>
      </c>
      <c r="E7" s="59" t="s">
        <v>141</v>
      </c>
      <c r="F7" s="59" t="s">
        <v>144</v>
      </c>
      <c r="G7" s="59">
        <v>1</v>
      </c>
      <c r="H7" s="59"/>
      <c r="I7" s="59"/>
      <c r="J7" s="59">
        <v>241677</v>
      </c>
      <c r="K7" s="59"/>
    </row>
    <row r="8" spans="1:11" x14ac:dyDescent="0.25">
      <c r="A8" s="59">
        <v>21</v>
      </c>
      <c r="B8" s="59" t="s">
        <v>40</v>
      </c>
      <c r="C8" s="59" t="s">
        <v>31</v>
      </c>
      <c r="D8" s="59" t="s">
        <v>135</v>
      </c>
      <c r="E8" s="59" t="s">
        <v>141</v>
      </c>
      <c r="F8" s="59" t="s">
        <v>145</v>
      </c>
      <c r="G8" s="59">
        <v>1</v>
      </c>
      <c r="H8" s="59"/>
      <c r="I8" s="59"/>
      <c r="J8" s="59">
        <v>3477</v>
      </c>
      <c r="K8" s="59"/>
    </row>
    <row r="9" spans="1:11" x14ac:dyDescent="0.25">
      <c r="A9" s="59">
        <v>22</v>
      </c>
      <c r="B9" s="59" t="s">
        <v>43</v>
      </c>
      <c r="C9" s="59" t="s">
        <v>31</v>
      </c>
      <c r="D9" s="59" t="s">
        <v>135</v>
      </c>
      <c r="E9" s="59" t="s">
        <v>141</v>
      </c>
      <c r="F9" s="59" t="s">
        <v>146</v>
      </c>
      <c r="G9" s="59">
        <v>1</v>
      </c>
      <c r="H9" s="59"/>
      <c r="I9" s="59"/>
      <c r="J9" s="59">
        <v>1592</v>
      </c>
      <c r="K9" s="59"/>
    </row>
    <row r="10" spans="1:11" x14ac:dyDescent="0.25">
      <c r="A10" s="59">
        <v>23</v>
      </c>
      <c r="B10" s="59" t="s">
        <v>46</v>
      </c>
      <c r="C10" s="59" t="s">
        <v>31</v>
      </c>
      <c r="D10" s="59" t="s">
        <v>135</v>
      </c>
      <c r="E10" s="59" t="s">
        <v>141</v>
      </c>
      <c r="F10" s="59" t="s">
        <v>147</v>
      </c>
      <c r="G10" s="59">
        <v>1</v>
      </c>
      <c r="H10" s="59"/>
      <c r="I10" s="59"/>
      <c r="J10" s="59">
        <v>107615</v>
      </c>
      <c r="K10" s="59"/>
    </row>
    <row r="11" spans="1:11" x14ac:dyDescent="0.25">
      <c r="A11" s="59">
        <v>24</v>
      </c>
      <c r="B11" s="59" t="s">
        <v>49</v>
      </c>
      <c r="C11" s="59" t="s">
        <v>50</v>
      </c>
      <c r="D11" s="59" t="s">
        <v>135</v>
      </c>
      <c r="E11" s="59" t="s">
        <v>148</v>
      </c>
      <c r="F11" s="59" t="s">
        <v>149</v>
      </c>
      <c r="G11" s="59">
        <v>1</v>
      </c>
      <c r="H11" s="59"/>
      <c r="I11" s="59"/>
      <c r="J11" s="59">
        <v>485994</v>
      </c>
      <c r="K11" s="59"/>
    </row>
    <row r="12" spans="1:11" x14ac:dyDescent="0.25">
      <c r="A12" s="59">
        <v>25</v>
      </c>
      <c r="B12" s="59" t="s">
        <v>53</v>
      </c>
      <c r="C12" s="59" t="s">
        <v>50</v>
      </c>
      <c r="D12" s="59" t="s">
        <v>135</v>
      </c>
      <c r="E12" s="59" t="s">
        <v>148</v>
      </c>
      <c r="F12" s="59" t="s">
        <v>150</v>
      </c>
      <c r="G12" s="59">
        <v>1</v>
      </c>
      <c r="H12" s="59"/>
      <c r="I12" s="59"/>
      <c r="J12" s="59">
        <v>416964</v>
      </c>
      <c r="K12" s="59"/>
    </row>
    <row r="13" spans="1:11" x14ac:dyDescent="0.25">
      <c r="A13" s="59">
        <v>26</v>
      </c>
      <c r="B13" s="59" t="s">
        <v>56</v>
      </c>
      <c r="C13" s="59" t="s">
        <v>50</v>
      </c>
      <c r="D13" s="59" t="s">
        <v>135</v>
      </c>
      <c r="E13" s="59" t="s">
        <v>148</v>
      </c>
      <c r="F13" s="59" t="s">
        <v>151</v>
      </c>
      <c r="G13" s="59">
        <v>1</v>
      </c>
      <c r="H13" s="59"/>
      <c r="I13" s="59"/>
      <c r="J13" s="59">
        <v>1000</v>
      </c>
      <c r="K13" s="59"/>
    </row>
    <row r="14" spans="1:11" x14ac:dyDescent="0.25">
      <c r="A14" s="59">
        <v>27</v>
      </c>
      <c r="B14" s="59" t="s">
        <v>59</v>
      </c>
      <c r="C14" s="59" t="s">
        <v>60</v>
      </c>
      <c r="D14" s="59" t="s">
        <v>135</v>
      </c>
      <c r="E14" s="59" t="s">
        <v>152</v>
      </c>
      <c r="F14" s="59" t="s">
        <v>153</v>
      </c>
      <c r="G14" s="59">
        <v>1</v>
      </c>
      <c r="H14" s="59"/>
      <c r="I14" s="59"/>
      <c r="J14" s="59">
        <v>9652145</v>
      </c>
      <c r="K14" s="59"/>
    </row>
    <row r="15" spans="1:11" x14ac:dyDescent="0.25">
      <c r="A15" s="59">
        <v>28</v>
      </c>
      <c r="B15" s="59" t="s">
        <v>63</v>
      </c>
      <c r="C15" s="59" t="s">
        <v>60</v>
      </c>
      <c r="D15" s="59" t="s">
        <v>135</v>
      </c>
      <c r="E15" s="59" t="s">
        <v>152</v>
      </c>
      <c r="F15" s="59" t="s">
        <v>154</v>
      </c>
      <c r="G15" s="59">
        <v>1</v>
      </c>
      <c r="H15" s="59"/>
      <c r="I15" s="59"/>
      <c r="J15" s="59">
        <v>9108927</v>
      </c>
      <c r="K15" s="59"/>
    </row>
    <row r="16" spans="1:11" x14ac:dyDescent="0.25">
      <c r="A16" s="59">
        <v>29</v>
      </c>
      <c r="B16" s="59" t="s">
        <v>66</v>
      </c>
      <c r="C16" s="59" t="s">
        <v>50</v>
      </c>
      <c r="D16" s="59" t="s">
        <v>135</v>
      </c>
      <c r="E16" s="59" t="s">
        <v>148</v>
      </c>
      <c r="F16" s="59" t="s">
        <v>155</v>
      </c>
      <c r="G16" s="59">
        <v>1</v>
      </c>
      <c r="H16" s="59"/>
      <c r="I16" s="59"/>
      <c r="J16" s="59">
        <v>3660714</v>
      </c>
      <c r="K16" s="59"/>
    </row>
    <row r="17" spans="1:11" x14ac:dyDescent="0.25">
      <c r="A17" s="59">
        <v>30</v>
      </c>
      <c r="B17" s="59" t="s">
        <v>69</v>
      </c>
      <c r="C17" s="59" t="s">
        <v>50</v>
      </c>
      <c r="D17" s="59" t="s">
        <v>135</v>
      </c>
      <c r="E17" s="59" t="s">
        <v>148</v>
      </c>
      <c r="F17" s="59" t="s">
        <v>156</v>
      </c>
      <c r="G17" s="59">
        <v>1</v>
      </c>
      <c r="H17" s="59"/>
      <c r="I17" s="59"/>
      <c r="J17" s="59">
        <v>3660714</v>
      </c>
      <c r="K17" s="59"/>
    </row>
    <row r="18" spans="1:11" x14ac:dyDescent="0.25">
      <c r="A18" s="59">
        <v>31</v>
      </c>
      <c r="B18" s="59" t="s">
        <v>72</v>
      </c>
      <c r="C18" s="59" t="s">
        <v>73</v>
      </c>
      <c r="D18" s="59" t="s">
        <v>135</v>
      </c>
      <c r="E18" s="59" t="s">
        <v>157</v>
      </c>
      <c r="F18" s="59" t="s">
        <v>158</v>
      </c>
      <c r="G18" s="59">
        <v>1</v>
      </c>
      <c r="H18" s="59"/>
      <c r="I18" s="59"/>
      <c r="J18" s="59">
        <v>105000</v>
      </c>
      <c r="K18" s="59"/>
    </row>
    <row r="19" spans="1:11" x14ac:dyDescent="0.25">
      <c r="A19" s="59">
        <v>32</v>
      </c>
      <c r="B19" s="59" t="s">
        <v>76</v>
      </c>
      <c r="C19" s="59" t="s">
        <v>77</v>
      </c>
      <c r="D19" s="59" t="s">
        <v>135</v>
      </c>
      <c r="E19" s="59" t="s">
        <v>159</v>
      </c>
      <c r="F19" s="59" t="s">
        <v>160</v>
      </c>
      <c r="G19" s="59">
        <v>1</v>
      </c>
      <c r="H19" s="59"/>
      <c r="I19" s="59"/>
      <c r="J19" s="59">
        <v>45000</v>
      </c>
      <c r="K19" s="59"/>
    </row>
    <row r="20" spans="1:11" x14ac:dyDescent="0.25">
      <c r="A20" s="58">
        <v>33</v>
      </c>
      <c r="B20" s="58" t="s">
        <v>80</v>
      </c>
      <c r="C20" s="58" t="s">
        <v>60</v>
      </c>
      <c r="D20" s="58" t="s">
        <v>133</v>
      </c>
      <c r="E20" s="58"/>
      <c r="F20" s="58"/>
      <c r="G20" s="58"/>
      <c r="H20" s="58"/>
      <c r="I20" s="58"/>
      <c r="J20" s="58">
        <v>0</v>
      </c>
      <c r="K20" s="58" t="s">
        <v>134</v>
      </c>
    </row>
    <row r="21" spans="1:11" x14ac:dyDescent="0.25">
      <c r="A21" s="59">
        <v>34</v>
      </c>
      <c r="B21" s="59" t="s">
        <v>23</v>
      </c>
      <c r="C21" s="59" t="s">
        <v>24</v>
      </c>
      <c r="D21" s="59" t="s">
        <v>135</v>
      </c>
      <c r="E21" s="59" t="s">
        <v>136</v>
      </c>
      <c r="F21" s="59" t="s">
        <v>137</v>
      </c>
      <c r="G21" s="59">
        <v>1</v>
      </c>
      <c r="H21" s="59"/>
      <c r="I21" s="59"/>
      <c r="J21" s="59">
        <v>29818.17</v>
      </c>
      <c r="K21" s="59"/>
    </row>
    <row r="22" spans="1:11" x14ac:dyDescent="0.25">
      <c r="A22" s="58">
        <v>35</v>
      </c>
      <c r="B22" s="58" t="s">
        <v>27</v>
      </c>
      <c r="C22" s="58" t="s">
        <v>24</v>
      </c>
      <c r="D22" s="58" t="s">
        <v>138</v>
      </c>
      <c r="E22" s="58" t="s">
        <v>136</v>
      </c>
      <c r="F22" s="58" t="s">
        <v>139</v>
      </c>
      <c r="G22" s="58">
        <v>1</v>
      </c>
      <c r="H22" s="58"/>
      <c r="I22" s="58"/>
      <c r="J22" s="58">
        <v>0</v>
      </c>
      <c r="K22" s="58" t="s">
        <v>140</v>
      </c>
    </row>
    <row r="23" spans="1:11" x14ac:dyDescent="0.25">
      <c r="A23" s="59">
        <v>36</v>
      </c>
      <c r="B23" s="59" t="s">
        <v>85</v>
      </c>
      <c r="C23" s="59" t="s">
        <v>31</v>
      </c>
      <c r="D23" s="59" t="s">
        <v>135</v>
      </c>
      <c r="E23" s="59" t="s">
        <v>141</v>
      </c>
      <c r="F23" s="59" t="s">
        <v>161</v>
      </c>
      <c r="G23" s="59">
        <v>1</v>
      </c>
      <c r="H23" s="59"/>
      <c r="I23" s="59"/>
      <c r="J23" s="59">
        <v>2203</v>
      </c>
      <c r="K23" s="59"/>
    </row>
    <row r="24" spans="1:11" x14ac:dyDescent="0.25">
      <c r="A24" s="59">
        <v>37</v>
      </c>
      <c r="B24" s="59" t="s">
        <v>88</v>
      </c>
      <c r="C24" s="59" t="s">
        <v>31</v>
      </c>
      <c r="D24" s="59" t="s">
        <v>135</v>
      </c>
      <c r="E24" s="59" t="s">
        <v>141</v>
      </c>
      <c r="F24" s="59" t="s">
        <v>162</v>
      </c>
      <c r="G24" s="59">
        <v>1</v>
      </c>
      <c r="H24" s="59"/>
      <c r="I24" s="59"/>
      <c r="J24" s="59">
        <v>2033</v>
      </c>
      <c r="K24" s="59"/>
    </row>
    <row r="25" spans="1:11" x14ac:dyDescent="0.25">
      <c r="A25" s="59">
        <v>38</v>
      </c>
      <c r="B25" s="59" t="s">
        <v>91</v>
      </c>
      <c r="C25" s="59" t="s">
        <v>31</v>
      </c>
      <c r="D25" s="59" t="s">
        <v>135</v>
      </c>
      <c r="E25" s="59" t="s">
        <v>141</v>
      </c>
      <c r="F25" s="59" t="s">
        <v>163</v>
      </c>
      <c r="G25" s="59">
        <v>1</v>
      </c>
      <c r="H25" s="59"/>
      <c r="I25" s="59"/>
      <c r="J25" s="59">
        <v>7132</v>
      </c>
      <c r="K25" s="59"/>
    </row>
    <row r="26" spans="1:11" x14ac:dyDescent="0.25">
      <c r="A26" s="59">
        <v>39</v>
      </c>
      <c r="B26" s="59" t="s">
        <v>46</v>
      </c>
      <c r="C26" s="59" t="s">
        <v>31</v>
      </c>
      <c r="D26" s="59" t="s">
        <v>135</v>
      </c>
      <c r="E26" s="59" t="s">
        <v>141</v>
      </c>
      <c r="F26" s="59" t="s">
        <v>147</v>
      </c>
      <c r="G26" s="59">
        <v>1</v>
      </c>
      <c r="H26" s="59"/>
      <c r="I26" s="59"/>
      <c r="J26" s="59">
        <v>107615</v>
      </c>
      <c r="K26" s="59"/>
    </row>
    <row r="27" spans="1:11" x14ac:dyDescent="0.25">
      <c r="A27" s="59">
        <v>40</v>
      </c>
      <c r="B27" s="59" t="s">
        <v>95</v>
      </c>
      <c r="C27" s="59" t="s">
        <v>60</v>
      </c>
      <c r="D27" s="59" t="s">
        <v>135</v>
      </c>
      <c r="E27" s="59" t="s">
        <v>152</v>
      </c>
      <c r="F27" s="59" t="s">
        <v>164</v>
      </c>
      <c r="G27" s="59">
        <v>1</v>
      </c>
      <c r="H27" s="59"/>
      <c r="I27" s="59"/>
      <c r="J27" s="59">
        <v>10500000</v>
      </c>
      <c r="K27" s="59"/>
    </row>
    <row r="28" spans="1:11" x14ac:dyDescent="0.25">
      <c r="A28" s="59">
        <v>41</v>
      </c>
      <c r="B28" s="59" t="s">
        <v>98</v>
      </c>
      <c r="C28" s="59" t="s">
        <v>60</v>
      </c>
      <c r="D28" s="59" t="s">
        <v>135</v>
      </c>
      <c r="E28" s="59" t="s">
        <v>152</v>
      </c>
      <c r="F28" s="59" t="s">
        <v>165</v>
      </c>
      <c r="G28" s="59">
        <v>1</v>
      </c>
      <c r="H28" s="59"/>
      <c r="I28" s="59"/>
      <c r="J28" s="59">
        <v>12000000</v>
      </c>
      <c r="K28" s="59"/>
    </row>
    <row r="29" spans="1:11" x14ac:dyDescent="0.25">
      <c r="A29" s="59">
        <v>42</v>
      </c>
      <c r="B29" s="59" t="s">
        <v>101</v>
      </c>
      <c r="C29" s="59" t="s">
        <v>60</v>
      </c>
      <c r="D29" s="59" t="s">
        <v>135</v>
      </c>
      <c r="E29" s="59" t="s">
        <v>152</v>
      </c>
      <c r="F29" s="59" t="s">
        <v>166</v>
      </c>
      <c r="G29" s="59">
        <v>1</v>
      </c>
      <c r="H29" s="59"/>
      <c r="I29" s="59"/>
      <c r="J29" s="59">
        <v>11250000</v>
      </c>
      <c r="K29" s="59"/>
    </row>
    <row r="30" spans="1:11" x14ac:dyDescent="0.25">
      <c r="A30" s="59">
        <v>43</v>
      </c>
      <c r="B30" s="59" t="s">
        <v>104</v>
      </c>
      <c r="C30" s="59" t="s">
        <v>105</v>
      </c>
      <c r="D30" s="59" t="s">
        <v>135</v>
      </c>
      <c r="E30" s="59" t="s">
        <v>167</v>
      </c>
      <c r="F30" s="59" t="s">
        <v>168</v>
      </c>
      <c r="G30" s="59">
        <v>1</v>
      </c>
      <c r="H30" s="59"/>
      <c r="I30" s="59"/>
      <c r="J30" s="59">
        <v>15000</v>
      </c>
      <c r="K30" s="59"/>
    </row>
    <row r="31" spans="1:11" x14ac:dyDescent="0.25">
      <c r="A31" s="59">
        <v>44</v>
      </c>
      <c r="B31" s="59" t="s">
        <v>108</v>
      </c>
      <c r="C31" s="59" t="s">
        <v>60</v>
      </c>
      <c r="D31" s="59" t="s">
        <v>135</v>
      </c>
      <c r="E31" s="59" t="s">
        <v>152</v>
      </c>
      <c r="F31" s="59" t="s">
        <v>169</v>
      </c>
      <c r="G31" s="59">
        <v>1</v>
      </c>
      <c r="H31" s="59"/>
      <c r="I31" s="59"/>
      <c r="J31" s="59">
        <v>12500000</v>
      </c>
      <c r="K31" s="59"/>
    </row>
  </sheetData>
  <autoFilter ref="A1:K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202611450_БВ</vt:lpstr>
      <vt:lpstr>LOG</vt:lpstr>
      <vt:lpstr>'202611450_БВ'!Заголовки_для_печати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2026-10-23T06:27:30Z</dcterms:created>
  <dcterms:modified xsi:type="dcterms:W3CDTF">2026-10-24T06:10:39Z</dcterms:modified>
</cp:coreProperties>
</file>