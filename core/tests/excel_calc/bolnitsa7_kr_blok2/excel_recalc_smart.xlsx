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\Temp\claude\C--Users-user-Desktop-exwork\aa205948-b3b2-4fc4-81d8-34a51bf45452\scratchpad\"/>
    </mc:Choice>
  </mc:AlternateContent>
  <xr:revisionPtr revIDLastSave="0" documentId="8_{CB682027-7EF6-467E-AF31-D4D277E42449}" xr6:coauthVersionLast="47" xr6:coauthVersionMax="47" xr10:uidLastSave="{00000000-0000-0000-0000-000000000000}"/>
  <bookViews>
    <workbookView xWindow="27270" yWindow="705" windowWidth="23700" windowHeight="19605" xr2:uid="{00000000-000D-0000-FFFF-FFFF00000000}"/>
  </bookViews>
  <sheets>
    <sheet name="LRV" sheetId="1" r:id="rId1"/>
    <sheet name="LOG" sheetId="2" r:id="rId2"/>
  </sheets>
  <definedNames>
    <definedName name="_xlnm._FilterDatabase" localSheetId="1" hidden="1">LOG!$A$1:$K$1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90" i="1" l="1"/>
  <c r="P590" i="1"/>
  <c r="O590" i="1"/>
  <c r="N590" i="1"/>
  <c r="M590" i="1"/>
  <c r="H598" i="1" s="1"/>
  <c r="H599" i="1" s="1"/>
  <c r="L590" i="1"/>
  <c r="H596" i="1" s="1"/>
  <c r="H597" i="1" s="1"/>
  <c r="H589" i="1"/>
  <c r="K589" i="1" s="1"/>
  <c r="H588" i="1"/>
  <c r="J588" i="1" s="1"/>
  <c r="H587" i="1"/>
  <c r="J587" i="1" s="1"/>
  <c r="H586" i="1"/>
  <c r="J586" i="1" s="1"/>
  <c r="H585" i="1"/>
  <c r="I585" i="1" s="1"/>
  <c r="H584" i="1"/>
  <c r="K584" i="1" s="1"/>
  <c r="H583" i="1"/>
  <c r="K583" i="1" s="1"/>
  <c r="H582" i="1"/>
  <c r="K582" i="1" s="1"/>
  <c r="H581" i="1"/>
  <c r="K581" i="1" s="1"/>
  <c r="H580" i="1"/>
  <c r="K580" i="1" s="1"/>
  <c r="H579" i="1"/>
  <c r="J579" i="1" s="1"/>
  <c r="J578" i="1"/>
  <c r="H578" i="1"/>
  <c r="H577" i="1"/>
  <c r="I577" i="1" s="1"/>
  <c r="H576" i="1"/>
  <c r="K576" i="1" s="1"/>
  <c r="H575" i="1"/>
  <c r="K575" i="1" s="1"/>
  <c r="H574" i="1"/>
  <c r="K574" i="1" s="1"/>
  <c r="H573" i="1"/>
  <c r="K573" i="1" s="1"/>
  <c r="H572" i="1"/>
  <c r="K572" i="1" s="1"/>
  <c r="H571" i="1"/>
  <c r="J571" i="1" s="1"/>
  <c r="H570" i="1"/>
  <c r="J570" i="1" s="1"/>
  <c r="H569" i="1"/>
  <c r="I569" i="1" s="1"/>
  <c r="H568" i="1"/>
  <c r="K568" i="1" s="1"/>
  <c r="H567" i="1"/>
  <c r="K567" i="1" s="1"/>
  <c r="H566" i="1"/>
  <c r="K566" i="1" s="1"/>
  <c r="H565" i="1"/>
  <c r="K565" i="1" s="1"/>
  <c r="H564" i="1"/>
  <c r="J564" i="1" s="1"/>
  <c r="H563" i="1"/>
  <c r="J563" i="1" s="1"/>
  <c r="H562" i="1"/>
  <c r="J562" i="1" s="1"/>
  <c r="J561" i="1"/>
  <c r="H561" i="1"/>
  <c r="H560" i="1"/>
  <c r="I560" i="1" s="1"/>
  <c r="H559" i="1"/>
  <c r="K559" i="1" s="1"/>
  <c r="H558" i="1"/>
  <c r="K558" i="1" s="1"/>
  <c r="H557" i="1"/>
  <c r="K557" i="1" s="1"/>
  <c r="H556" i="1"/>
  <c r="K556" i="1" s="1"/>
  <c r="H555" i="1"/>
  <c r="J555" i="1" s="1"/>
  <c r="H554" i="1"/>
  <c r="J554" i="1" s="1"/>
  <c r="H553" i="1"/>
  <c r="J553" i="1" s="1"/>
  <c r="H552" i="1"/>
  <c r="J552" i="1" s="1"/>
  <c r="H551" i="1"/>
  <c r="I551" i="1" s="1"/>
  <c r="H550" i="1"/>
  <c r="K550" i="1" s="1"/>
  <c r="H549" i="1"/>
  <c r="K549" i="1" s="1"/>
  <c r="H548" i="1"/>
  <c r="K548" i="1" s="1"/>
  <c r="H547" i="1"/>
  <c r="K547" i="1" s="1"/>
  <c r="H546" i="1"/>
  <c r="J546" i="1" s="1"/>
  <c r="H545" i="1"/>
  <c r="J545" i="1" s="1"/>
  <c r="H544" i="1"/>
  <c r="J544" i="1" s="1"/>
  <c r="H543" i="1"/>
  <c r="J543" i="1" s="1"/>
  <c r="H542" i="1"/>
  <c r="I542" i="1" s="1"/>
  <c r="H541" i="1"/>
  <c r="K541" i="1" s="1"/>
  <c r="H540" i="1"/>
  <c r="K540" i="1" s="1"/>
  <c r="H539" i="1"/>
  <c r="K539" i="1" s="1"/>
  <c r="K538" i="1"/>
  <c r="H538" i="1"/>
  <c r="H537" i="1"/>
  <c r="K537" i="1" s="1"/>
  <c r="H536" i="1"/>
  <c r="K536" i="1" s="1"/>
  <c r="H535" i="1"/>
  <c r="K535" i="1" s="1"/>
  <c r="H534" i="1"/>
  <c r="K534" i="1" s="1"/>
  <c r="H533" i="1"/>
  <c r="K533" i="1" s="1"/>
  <c r="H532" i="1"/>
  <c r="K532" i="1" s="1"/>
  <c r="H531" i="1"/>
  <c r="J531" i="1" s="1"/>
  <c r="H530" i="1"/>
  <c r="J530" i="1" s="1"/>
  <c r="H529" i="1"/>
  <c r="J529" i="1" s="1"/>
  <c r="H528" i="1"/>
  <c r="J528" i="1" s="1"/>
  <c r="H527" i="1"/>
  <c r="J527" i="1" s="1"/>
  <c r="H526" i="1"/>
  <c r="J526" i="1" s="1"/>
  <c r="H525" i="1"/>
  <c r="J525" i="1" s="1"/>
  <c r="H524" i="1"/>
  <c r="J524" i="1" s="1"/>
  <c r="H523" i="1"/>
  <c r="I523" i="1" s="1"/>
  <c r="H522" i="1"/>
  <c r="K522" i="1" s="1"/>
  <c r="H521" i="1"/>
  <c r="K521" i="1" s="1"/>
  <c r="H520" i="1"/>
  <c r="K520" i="1" s="1"/>
  <c r="H519" i="1"/>
  <c r="K519" i="1" s="1"/>
  <c r="H518" i="1"/>
  <c r="K518" i="1" s="1"/>
  <c r="H517" i="1"/>
  <c r="K517" i="1" s="1"/>
  <c r="H516" i="1"/>
  <c r="J516" i="1" s="1"/>
  <c r="H515" i="1"/>
  <c r="J515" i="1" s="1"/>
  <c r="H514" i="1"/>
  <c r="J514" i="1" s="1"/>
  <c r="H513" i="1"/>
  <c r="J513" i="1" s="1"/>
  <c r="H512" i="1"/>
  <c r="I512" i="1" s="1"/>
  <c r="H511" i="1"/>
  <c r="K511" i="1" s="1"/>
  <c r="H510" i="1"/>
  <c r="K510" i="1" s="1"/>
  <c r="H509" i="1"/>
  <c r="K509" i="1" s="1"/>
  <c r="K508" i="1"/>
  <c r="H508" i="1"/>
  <c r="H507" i="1"/>
  <c r="K507" i="1" s="1"/>
  <c r="H506" i="1"/>
  <c r="K506" i="1" s="1"/>
  <c r="H505" i="1"/>
  <c r="K505" i="1" s="1"/>
  <c r="H504" i="1"/>
  <c r="J504" i="1" s="1"/>
  <c r="H503" i="1"/>
  <c r="J503" i="1" s="1"/>
  <c r="H502" i="1"/>
  <c r="J502" i="1" s="1"/>
  <c r="H501" i="1"/>
  <c r="J501" i="1" s="1"/>
  <c r="H500" i="1"/>
  <c r="I500" i="1" s="1"/>
  <c r="H499" i="1"/>
  <c r="K499" i="1" s="1"/>
  <c r="H498" i="1"/>
  <c r="K498" i="1" s="1"/>
  <c r="H497" i="1"/>
  <c r="K497" i="1" s="1"/>
  <c r="H496" i="1"/>
  <c r="K496" i="1" s="1"/>
  <c r="H495" i="1"/>
  <c r="K495" i="1" s="1"/>
  <c r="H494" i="1"/>
  <c r="K494" i="1" s="1"/>
  <c r="H493" i="1"/>
  <c r="J493" i="1" s="1"/>
  <c r="H492" i="1"/>
  <c r="J492" i="1" s="1"/>
  <c r="H491" i="1"/>
  <c r="J491" i="1" s="1"/>
  <c r="H490" i="1"/>
  <c r="J490" i="1" s="1"/>
  <c r="H489" i="1"/>
  <c r="I489" i="1" s="1"/>
  <c r="H488" i="1"/>
  <c r="K488" i="1" s="1"/>
  <c r="H487" i="1"/>
  <c r="K487" i="1" s="1"/>
  <c r="H486" i="1"/>
  <c r="K486" i="1" s="1"/>
  <c r="H485" i="1"/>
  <c r="K485" i="1" s="1"/>
  <c r="H484" i="1"/>
  <c r="K484" i="1" s="1"/>
  <c r="H483" i="1"/>
  <c r="K483" i="1" s="1"/>
  <c r="H482" i="1"/>
  <c r="K482" i="1" s="1"/>
  <c r="J481" i="1"/>
  <c r="H481" i="1"/>
  <c r="H480" i="1"/>
  <c r="J480" i="1" s="1"/>
  <c r="H479" i="1"/>
  <c r="J479" i="1" s="1"/>
  <c r="H478" i="1"/>
  <c r="J478" i="1" s="1"/>
  <c r="H477" i="1"/>
  <c r="I477" i="1" s="1"/>
  <c r="H476" i="1"/>
  <c r="K476" i="1" s="1"/>
  <c r="H475" i="1"/>
  <c r="K475" i="1" s="1"/>
  <c r="H474" i="1"/>
  <c r="K474" i="1" s="1"/>
  <c r="H473" i="1"/>
  <c r="K473" i="1" s="1"/>
  <c r="H472" i="1"/>
  <c r="K472" i="1" s="1"/>
  <c r="H471" i="1"/>
  <c r="K471" i="1" s="1"/>
  <c r="H470" i="1"/>
  <c r="K470" i="1" s="1"/>
  <c r="H469" i="1"/>
  <c r="K469" i="1" s="1"/>
  <c r="H468" i="1"/>
  <c r="K468" i="1" s="1"/>
  <c r="H467" i="1"/>
  <c r="K467" i="1" s="1"/>
  <c r="H466" i="1"/>
  <c r="K466" i="1" s="1"/>
  <c r="H465" i="1"/>
  <c r="J465" i="1" s="1"/>
  <c r="H464" i="1"/>
  <c r="J464" i="1" s="1"/>
  <c r="H463" i="1"/>
  <c r="J463" i="1" s="1"/>
  <c r="H462" i="1"/>
  <c r="J462" i="1" s="1"/>
  <c r="H461" i="1"/>
  <c r="J461" i="1" s="1"/>
  <c r="H460" i="1"/>
  <c r="J460" i="1" s="1"/>
  <c r="H459" i="1"/>
  <c r="J459" i="1" s="1"/>
  <c r="H458" i="1"/>
  <c r="J458" i="1" s="1"/>
  <c r="H457" i="1"/>
  <c r="I457" i="1" s="1"/>
  <c r="H456" i="1"/>
  <c r="K456" i="1" s="1"/>
  <c r="H455" i="1"/>
  <c r="K455" i="1" s="1"/>
  <c r="H454" i="1"/>
  <c r="K454" i="1" s="1"/>
  <c r="H453" i="1"/>
  <c r="K453" i="1" s="1"/>
  <c r="H452" i="1"/>
  <c r="K452" i="1" s="1"/>
  <c r="H451" i="1"/>
  <c r="K451" i="1" s="1"/>
  <c r="H450" i="1"/>
  <c r="K450" i="1" s="1"/>
  <c r="H449" i="1"/>
  <c r="K449" i="1" s="1"/>
  <c r="H448" i="1"/>
  <c r="K448" i="1" s="1"/>
  <c r="H447" i="1"/>
  <c r="K447" i="1" s="1"/>
  <c r="H446" i="1"/>
  <c r="K446" i="1" s="1"/>
  <c r="H445" i="1"/>
  <c r="K445" i="1" s="1"/>
  <c r="H444" i="1"/>
  <c r="K444" i="1" s="1"/>
  <c r="H443" i="1"/>
  <c r="J443" i="1" s="1"/>
  <c r="H442" i="1"/>
  <c r="J442" i="1" s="1"/>
  <c r="H441" i="1"/>
  <c r="J441" i="1" s="1"/>
  <c r="H440" i="1"/>
  <c r="J440" i="1" s="1"/>
  <c r="H439" i="1"/>
  <c r="J439" i="1" s="1"/>
  <c r="H438" i="1"/>
  <c r="J438" i="1" s="1"/>
  <c r="H437" i="1"/>
  <c r="J437" i="1" s="1"/>
  <c r="H436" i="1"/>
  <c r="J436" i="1" s="1"/>
  <c r="H435" i="1"/>
  <c r="I435" i="1" s="1"/>
  <c r="H434" i="1"/>
  <c r="K434" i="1" s="1"/>
  <c r="H433" i="1"/>
  <c r="K433" i="1" s="1"/>
  <c r="H432" i="1"/>
  <c r="K432" i="1" s="1"/>
  <c r="H431" i="1"/>
  <c r="K431" i="1" s="1"/>
  <c r="H430" i="1"/>
  <c r="K430" i="1" s="1"/>
  <c r="H429" i="1"/>
  <c r="K429" i="1" s="1"/>
  <c r="K428" i="1"/>
  <c r="H428" i="1"/>
  <c r="H427" i="1"/>
  <c r="K427" i="1" s="1"/>
  <c r="H426" i="1"/>
  <c r="K426" i="1" s="1"/>
  <c r="H425" i="1"/>
  <c r="K425" i="1" s="1"/>
  <c r="H424" i="1"/>
  <c r="K424" i="1" s="1"/>
  <c r="H423" i="1"/>
  <c r="K423" i="1" s="1"/>
  <c r="H422" i="1"/>
  <c r="K422" i="1" s="1"/>
  <c r="H421" i="1"/>
  <c r="J421" i="1" s="1"/>
  <c r="H420" i="1"/>
  <c r="J420" i="1" s="1"/>
  <c r="H419" i="1"/>
  <c r="J419" i="1" s="1"/>
  <c r="H418" i="1"/>
  <c r="J418" i="1" s="1"/>
  <c r="H417" i="1"/>
  <c r="J417" i="1" s="1"/>
  <c r="H416" i="1"/>
  <c r="J416" i="1" s="1"/>
  <c r="H415" i="1"/>
  <c r="J415" i="1" s="1"/>
  <c r="H414" i="1"/>
  <c r="J414" i="1" s="1"/>
  <c r="H413" i="1"/>
  <c r="I413" i="1" s="1"/>
  <c r="H412" i="1"/>
  <c r="K412" i="1" s="1"/>
  <c r="H411" i="1"/>
  <c r="K411" i="1" s="1"/>
  <c r="H410" i="1"/>
  <c r="K410" i="1" s="1"/>
  <c r="H409" i="1"/>
  <c r="K409" i="1" s="1"/>
  <c r="H408" i="1"/>
  <c r="K408" i="1" s="1"/>
  <c r="H407" i="1"/>
  <c r="K407" i="1" s="1"/>
  <c r="H406" i="1"/>
  <c r="J406" i="1" s="1"/>
  <c r="H405" i="1"/>
  <c r="J405" i="1" s="1"/>
  <c r="H404" i="1"/>
  <c r="J404" i="1" s="1"/>
  <c r="H403" i="1"/>
  <c r="J403" i="1" s="1"/>
  <c r="H402" i="1"/>
  <c r="J402" i="1" s="1"/>
  <c r="I401" i="1"/>
  <c r="H401" i="1"/>
  <c r="H400" i="1"/>
  <c r="K400" i="1" s="1"/>
  <c r="H399" i="1"/>
  <c r="K399" i="1" s="1"/>
  <c r="H398" i="1"/>
  <c r="K398" i="1" s="1"/>
  <c r="H397" i="1"/>
  <c r="K397" i="1" s="1"/>
  <c r="H396" i="1"/>
  <c r="K396" i="1" s="1"/>
  <c r="H395" i="1"/>
  <c r="K395" i="1" s="1"/>
  <c r="H394" i="1"/>
  <c r="K394" i="1" s="1"/>
  <c r="H393" i="1"/>
  <c r="K393" i="1" s="1"/>
  <c r="H392" i="1"/>
  <c r="K392" i="1" s="1"/>
  <c r="H391" i="1"/>
  <c r="K391" i="1" s="1"/>
  <c r="H390" i="1"/>
  <c r="K390" i="1" s="1"/>
  <c r="H389" i="1"/>
  <c r="J389" i="1" s="1"/>
  <c r="H388" i="1"/>
  <c r="J388" i="1" s="1"/>
  <c r="H387" i="1"/>
  <c r="J387" i="1" s="1"/>
  <c r="H386" i="1"/>
  <c r="J386" i="1" s="1"/>
  <c r="H385" i="1"/>
  <c r="J385" i="1" s="1"/>
  <c r="H384" i="1"/>
  <c r="J384" i="1" s="1"/>
  <c r="H383" i="1"/>
  <c r="J383" i="1" s="1"/>
  <c r="H382" i="1"/>
  <c r="J382" i="1" s="1"/>
  <c r="H381" i="1"/>
  <c r="I381" i="1" s="1"/>
  <c r="H380" i="1"/>
  <c r="K380" i="1" s="1"/>
  <c r="H379" i="1"/>
  <c r="K379" i="1" s="1"/>
  <c r="H378" i="1"/>
  <c r="K378" i="1" s="1"/>
  <c r="H377" i="1"/>
  <c r="K377" i="1" s="1"/>
  <c r="H376" i="1"/>
  <c r="K376" i="1" s="1"/>
  <c r="H375" i="1"/>
  <c r="K375" i="1" s="1"/>
  <c r="H374" i="1"/>
  <c r="K374" i="1" s="1"/>
  <c r="H373" i="1"/>
  <c r="K373" i="1" s="1"/>
  <c r="H372" i="1"/>
  <c r="K372" i="1" s="1"/>
  <c r="H371" i="1"/>
  <c r="K371" i="1" s="1"/>
  <c r="H370" i="1"/>
  <c r="K370" i="1" s="1"/>
  <c r="H369" i="1"/>
  <c r="K369" i="1" s="1"/>
  <c r="H368" i="1"/>
  <c r="K368" i="1" s="1"/>
  <c r="H367" i="1"/>
  <c r="J367" i="1" s="1"/>
  <c r="H366" i="1"/>
  <c r="J366" i="1" s="1"/>
  <c r="H365" i="1"/>
  <c r="J365" i="1" s="1"/>
  <c r="H364" i="1"/>
  <c r="J364" i="1" s="1"/>
  <c r="H363" i="1"/>
  <c r="J363" i="1" s="1"/>
  <c r="H362" i="1"/>
  <c r="J362" i="1" s="1"/>
  <c r="H361" i="1"/>
  <c r="J361" i="1" s="1"/>
  <c r="H360" i="1"/>
  <c r="J360" i="1" s="1"/>
  <c r="H359" i="1"/>
  <c r="I359" i="1" s="1"/>
  <c r="H358" i="1"/>
  <c r="K358" i="1" s="1"/>
  <c r="H357" i="1"/>
  <c r="K357" i="1" s="1"/>
  <c r="H356" i="1"/>
  <c r="K356" i="1" s="1"/>
  <c r="H355" i="1"/>
  <c r="K355" i="1" s="1"/>
  <c r="H354" i="1"/>
  <c r="K354" i="1" s="1"/>
  <c r="H353" i="1"/>
  <c r="K353" i="1" s="1"/>
  <c r="H352" i="1"/>
  <c r="K352" i="1" s="1"/>
  <c r="H351" i="1"/>
  <c r="K351" i="1" s="1"/>
  <c r="H350" i="1"/>
  <c r="K350" i="1" s="1"/>
  <c r="H349" i="1"/>
  <c r="K349" i="1" s="1"/>
  <c r="K348" i="1"/>
  <c r="H348" i="1"/>
  <c r="H347" i="1"/>
  <c r="K347" i="1" s="1"/>
  <c r="H346" i="1"/>
  <c r="J346" i="1" s="1"/>
  <c r="H345" i="1"/>
  <c r="J345" i="1" s="1"/>
  <c r="H344" i="1"/>
  <c r="J344" i="1" s="1"/>
  <c r="H343" i="1"/>
  <c r="J343" i="1" s="1"/>
  <c r="H342" i="1"/>
  <c r="J342" i="1" s="1"/>
  <c r="H341" i="1"/>
  <c r="J341" i="1" s="1"/>
  <c r="H340" i="1"/>
  <c r="J340" i="1" s="1"/>
  <c r="H339" i="1"/>
  <c r="J339" i="1" s="1"/>
  <c r="H338" i="1"/>
  <c r="I338" i="1" s="1"/>
  <c r="H337" i="1"/>
  <c r="K337" i="1" s="1"/>
  <c r="H336" i="1"/>
  <c r="K336" i="1" s="1"/>
  <c r="H335" i="1"/>
  <c r="K335" i="1" s="1"/>
  <c r="H334" i="1"/>
  <c r="K334" i="1" s="1"/>
  <c r="H333" i="1"/>
  <c r="K333" i="1" s="1"/>
  <c r="H332" i="1"/>
  <c r="K332" i="1" s="1"/>
  <c r="H331" i="1"/>
  <c r="J331" i="1" s="1"/>
  <c r="H330" i="1"/>
  <c r="J330" i="1" s="1"/>
  <c r="H329" i="1"/>
  <c r="J329" i="1" s="1"/>
  <c r="H328" i="1"/>
  <c r="J328" i="1" s="1"/>
  <c r="H327" i="1"/>
  <c r="J327" i="1" s="1"/>
  <c r="H326" i="1"/>
  <c r="I326" i="1" s="1"/>
  <c r="H325" i="1"/>
  <c r="K325" i="1" s="1"/>
  <c r="H324" i="1"/>
  <c r="K324" i="1" s="1"/>
  <c r="H323" i="1"/>
  <c r="K323" i="1" s="1"/>
  <c r="H322" i="1"/>
  <c r="K322" i="1" s="1"/>
  <c r="K321" i="1"/>
  <c r="H321" i="1"/>
  <c r="H320" i="1"/>
  <c r="K320" i="1" s="1"/>
  <c r="H319" i="1"/>
  <c r="K319" i="1" s="1"/>
  <c r="H318" i="1"/>
  <c r="K318" i="1" s="1"/>
  <c r="H317" i="1"/>
  <c r="K317" i="1" s="1"/>
  <c r="H316" i="1"/>
  <c r="K316" i="1" s="1"/>
  <c r="H315" i="1"/>
  <c r="K315" i="1" s="1"/>
  <c r="H314" i="1"/>
  <c r="K314" i="1" s="1"/>
  <c r="H313" i="1"/>
  <c r="J313" i="1" s="1"/>
  <c r="H312" i="1"/>
  <c r="J312" i="1" s="1"/>
  <c r="H311" i="1"/>
  <c r="J311" i="1" s="1"/>
  <c r="H310" i="1"/>
  <c r="J310" i="1" s="1"/>
  <c r="H309" i="1"/>
  <c r="J309" i="1" s="1"/>
  <c r="H308" i="1"/>
  <c r="J308" i="1" s="1"/>
  <c r="H307" i="1"/>
  <c r="J307" i="1" s="1"/>
  <c r="H306" i="1"/>
  <c r="J306" i="1" s="1"/>
  <c r="H305" i="1"/>
  <c r="I305" i="1" s="1"/>
  <c r="H304" i="1"/>
  <c r="K304" i="1" s="1"/>
  <c r="H303" i="1"/>
  <c r="K303" i="1" s="1"/>
  <c r="H302" i="1"/>
  <c r="K302" i="1" s="1"/>
  <c r="H301" i="1"/>
  <c r="K301" i="1" s="1"/>
  <c r="H300" i="1"/>
  <c r="K300" i="1" s="1"/>
  <c r="H299" i="1"/>
  <c r="K299" i="1" s="1"/>
  <c r="H298" i="1"/>
  <c r="K298" i="1" s="1"/>
  <c r="H297" i="1"/>
  <c r="K297" i="1" s="1"/>
  <c r="H296" i="1"/>
  <c r="K296" i="1" s="1"/>
  <c r="H295" i="1"/>
  <c r="J295" i="1" s="1"/>
  <c r="H294" i="1"/>
  <c r="J294" i="1" s="1"/>
  <c r="H293" i="1"/>
  <c r="J293" i="1" s="1"/>
  <c r="H292" i="1"/>
  <c r="J292" i="1" s="1"/>
  <c r="H291" i="1"/>
  <c r="J291" i="1" s="1"/>
  <c r="H290" i="1"/>
  <c r="J290" i="1" s="1"/>
  <c r="H289" i="1"/>
  <c r="J289" i="1" s="1"/>
  <c r="H288" i="1"/>
  <c r="J288" i="1" s="1"/>
  <c r="H287" i="1"/>
  <c r="I287" i="1" s="1"/>
  <c r="H286" i="1"/>
  <c r="K286" i="1" s="1"/>
  <c r="H285" i="1"/>
  <c r="K285" i="1" s="1"/>
  <c r="H284" i="1"/>
  <c r="K284" i="1" s="1"/>
  <c r="H283" i="1"/>
  <c r="K283" i="1" s="1"/>
  <c r="H282" i="1"/>
  <c r="K282" i="1" s="1"/>
  <c r="H281" i="1"/>
  <c r="K281" i="1" s="1"/>
  <c r="H280" i="1"/>
  <c r="K280" i="1" s="1"/>
  <c r="H279" i="1"/>
  <c r="K279" i="1" s="1"/>
  <c r="H278" i="1"/>
  <c r="K278" i="1" s="1"/>
  <c r="H277" i="1"/>
  <c r="K277" i="1" s="1"/>
  <c r="H276" i="1"/>
  <c r="K276" i="1" s="1"/>
  <c r="H275" i="1"/>
  <c r="J275" i="1" s="1"/>
  <c r="H274" i="1"/>
  <c r="J274" i="1" s="1"/>
  <c r="H273" i="1"/>
  <c r="J273" i="1" s="1"/>
  <c r="H272" i="1"/>
  <c r="J272" i="1" s="1"/>
  <c r="H271" i="1"/>
  <c r="J271" i="1" s="1"/>
  <c r="H270" i="1"/>
  <c r="J270" i="1" s="1"/>
  <c r="H269" i="1"/>
  <c r="J269" i="1" s="1"/>
  <c r="J268" i="1"/>
  <c r="H268" i="1"/>
  <c r="H267" i="1"/>
  <c r="I267" i="1" s="1"/>
  <c r="H266" i="1"/>
  <c r="K266" i="1" s="1"/>
  <c r="H265" i="1"/>
  <c r="K265" i="1" s="1"/>
  <c r="H264" i="1"/>
  <c r="K264" i="1" s="1"/>
  <c r="H263" i="1"/>
  <c r="K263" i="1" s="1"/>
  <c r="H262" i="1"/>
  <c r="K262" i="1" s="1"/>
  <c r="H261" i="1"/>
  <c r="K261" i="1" s="1"/>
  <c r="H260" i="1"/>
  <c r="K260" i="1" s="1"/>
  <c r="H259" i="1"/>
  <c r="K259" i="1" s="1"/>
  <c r="H258" i="1"/>
  <c r="K258" i="1" s="1"/>
  <c r="H257" i="1"/>
  <c r="J257" i="1" s="1"/>
  <c r="H256" i="1"/>
  <c r="J256" i="1" s="1"/>
  <c r="H255" i="1"/>
  <c r="J255" i="1" s="1"/>
  <c r="H254" i="1"/>
  <c r="J254" i="1" s="1"/>
  <c r="H253" i="1"/>
  <c r="J253" i="1" s="1"/>
  <c r="H252" i="1"/>
  <c r="J252" i="1" s="1"/>
  <c r="H251" i="1"/>
  <c r="J251" i="1" s="1"/>
  <c r="H250" i="1"/>
  <c r="J250" i="1" s="1"/>
  <c r="H249" i="1"/>
  <c r="I249" i="1" s="1"/>
  <c r="H248" i="1"/>
  <c r="K248" i="1" s="1"/>
  <c r="H247" i="1"/>
  <c r="K247" i="1" s="1"/>
  <c r="H246" i="1"/>
  <c r="K246" i="1" s="1"/>
  <c r="H245" i="1"/>
  <c r="K245" i="1" s="1"/>
  <c r="H244" i="1"/>
  <c r="K244" i="1" s="1"/>
  <c r="H243" i="1"/>
  <c r="K243" i="1" s="1"/>
  <c r="H242" i="1"/>
  <c r="K242" i="1" s="1"/>
  <c r="K241" i="1"/>
  <c r="H241" i="1"/>
  <c r="H240" i="1"/>
  <c r="J240" i="1" s="1"/>
  <c r="H239" i="1"/>
  <c r="J239" i="1" s="1"/>
  <c r="H238" i="1"/>
  <c r="I238" i="1" s="1"/>
  <c r="H237" i="1"/>
  <c r="K237" i="1" s="1"/>
  <c r="H236" i="1"/>
  <c r="K236" i="1" s="1"/>
  <c r="H235" i="1"/>
  <c r="J235" i="1" s="1"/>
  <c r="H234" i="1"/>
  <c r="J234" i="1" s="1"/>
  <c r="H233" i="1"/>
  <c r="J233" i="1" s="1"/>
  <c r="H232" i="1"/>
  <c r="J232" i="1" s="1"/>
  <c r="H231" i="1"/>
  <c r="I231" i="1" s="1"/>
  <c r="H230" i="1"/>
  <c r="K230" i="1" s="1"/>
  <c r="H229" i="1"/>
  <c r="K229" i="1" s="1"/>
  <c r="H228" i="1"/>
  <c r="J228" i="1" s="1"/>
  <c r="H227" i="1"/>
  <c r="J227" i="1" s="1"/>
  <c r="H226" i="1"/>
  <c r="J226" i="1" s="1"/>
  <c r="H225" i="1"/>
  <c r="J225" i="1" s="1"/>
  <c r="H224" i="1"/>
  <c r="J224" i="1" s="1"/>
  <c r="H223" i="1"/>
  <c r="I223" i="1" s="1"/>
  <c r="H222" i="1"/>
  <c r="K222" i="1" s="1"/>
  <c r="H221" i="1"/>
  <c r="K221" i="1" s="1"/>
  <c r="H220" i="1"/>
  <c r="K220" i="1" s="1"/>
  <c r="H219" i="1"/>
  <c r="K219" i="1" s="1"/>
  <c r="H218" i="1"/>
  <c r="K218" i="1" s="1"/>
  <c r="H217" i="1"/>
  <c r="K217" i="1" s="1"/>
  <c r="H216" i="1"/>
  <c r="K216" i="1" s="1"/>
  <c r="H215" i="1"/>
  <c r="J215" i="1" s="1"/>
  <c r="H214" i="1"/>
  <c r="J214" i="1" s="1"/>
  <c r="H213" i="1"/>
  <c r="J213" i="1" s="1"/>
  <c r="H212" i="1"/>
  <c r="J212" i="1" s="1"/>
  <c r="H211" i="1"/>
  <c r="J211" i="1" s="1"/>
  <c r="H210" i="1"/>
  <c r="J210" i="1" s="1"/>
  <c r="H209" i="1"/>
  <c r="J209" i="1" s="1"/>
  <c r="H208" i="1"/>
  <c r="J208" i="1" s="1"/>
  <c r="H207" i="1"/>
  <c r="I207" i="1" s="1"/>
  <c r="H206" i="1"/>
  <c r="K206" i="1" s="1"/>
  <c r="H205" i="1"/>
  <c r="K205" i="1" s="1"/>
  <c r="H204" i="1"/>
  <c r="K204" i="1" s="1"/>
  <c r="H203" i="1"/>
  <c r="K203" i="1" s="1"/>
  <c r="H202" i="1"/>
  <c r="K202" i="1" s="1"/>
  <c r="H201" i="1"/>
  <c r="K201" i="1" s="1"/>
  <c r="H200" i="1"/>
  <c r="K200" i="1" s="1"/>
  <c r="H199" i="1"/>
  <c r="K199" i="1" s="1"/>
  <c r="H198" i="1"/>
  <c r="K198" i="1" s="1"/>
  <c r="H197" i="1"/>
  <c r="K197" i="1" s="1"/>
  <c r="H196" i="1"/>
  <c r="J196" i="1" s="1"/>
  <c r="H195" i="1"/>
  <c r="J195" i="1" s="1"/>
  <c r="H194" i="1"/>
  <c r="J194" i="1" s="1"/>
  <c r="H193" i="1"/>
  <c r="J193" i="1" s="1"/>
  <c r="H192" i="1"/>
  <c r="J192" i="1" s="1"/>
  <c r="H191" i="1"/>
  <c r="J191" i="1" s="1"/>
  <c r="H190" i="1"/>
  <c r="J190" i="1" s="1"/>
  <c r="H189" i="1"/>
  <c r="J189" i="1" s="1"/>
  <c r="I188" i="1"/>
  <c r="H188" i="1"/>
  <c r="H187" i="1"/>
  <c r="K187" i="1" s="1"/>
  <c r="H186" i="1"/>
  <c r="K186" i="1" s="1"/>
  <c r="H185" i="1"/>
  <c r="K185" i="1" s="1"/>
  <c r="H184" i="1"/>
  <c r="K184" i="1" s="1"/>
  <c r="H183" i="1"/>
  <c r="K183" i="1" s="1"/>
  <c r="H182" i="1"/>
  <c r="K182" i="1" s="1"/>
  <c r="H181" i="1"/>
  <c r="K181" i="1" s="1"/>
  <c r="H180" i="1"/>
  <c r="K180" i="1" s="1"/>
  <c r="H179" i="1"/>
  <c r="K179" i="1" s="1"/>
  <c r="H178" i="1"/>
  <c r="K178" i="1" s="1"/>
  <c r="H177" i="1"/>
  <c r="K177" i="1" s="1"/>
  <c r="H176" i="1"/>
  <c r="J176" i="1" s="1"/>
  <c r="H175" i="1"/>
  <c r="J175" i="1" s="1"/>
  <c r="H174" i="1"/>
  <c r="J174" i="1" s="1"/>
  <c r="H173" i="1"/>
  <c r="J173" i="1" s="1"/>
  <c r="H172" i="1"/>
  <c r="J172" i="1" s="1"/>
  <c r="H171" i="1"/>
  <c r="J171" i="1" s="1"/>
  <c r="H170" i="1"/>
  <c r="J170" i="1" s="1"/>
  <c r="H169" i="1"/>
  <c r="J169" i="1" s="1"/>
  <c r="H168" i="1"/>
  <c r="I168" i="1" s="1"/>
  <c r="H167" i="1"/>
  <c r="K167" i="1" s="1"/>
  <c r="H166" i="1"/>
  <c r="K166" i="1" s="1"/>
  <c r="H165" i="1"/>
  <c r="K165" i="1" s="1"/>
  <c r="H164" i="1"/>
  <c r="K164" i="1" s="1"/>
  <c r="H163" i="1"/>
  <c r="K163" i="1" s="1"/>
  <c r="H162" i="1"/>
  <c r="K162" i="1" s="1"/>
  <c r="K161" i="1"/>
  <c r="H161" i="1"/>
  <c r="H160" i="1"/>
  <c r="K160" i="1" s="1"/>
  <c r="H159" i="1"/>
  <c r="J159" i="1" s="1"/>
  <c r="H158" i="1"/>
  <c r="J158" i="1" s="1"/>
  <c r="H157" i="1"/>
  <c r="J157" i="1" s="1"/>
  <c r="H156" i="1"/>
  <c r="J156" i="1" s="1"/>
  <c r="H155" i="1"/>
  <c r="J155" i="1" s="1"/>
  <c r="H154" i="1"/>
  <c r="J154" i="1" s="1"/>
  <c r="H153" i="1"/>
  <c r="J153" i="1" s="1"/>
  <c r="H152" i="1"/>
  <c r="J152" i="1" s="1"/>
  <c r="H151" i="1"/>
  <c r="I151" i="1" s="1"/>
  <c r="H150" i="1"/>
  <c r="K150" i="1" s="1"/>
  <c r="H149" i="1"/>
  <c r="K149" i="1" s="1"/>
  <c r="H148" i="1"/>
  <c r="K148" i="1" s="1"/>
  <c r="H147" i="1"/>
  <c r="K147" i="1" s="1"/>
  <c r="H146" i="1"/>
  <c r="K146" i="1" s="1"/>
  <c r="H145" i="1"/>
  <c r="K145" i="1" s="1"/>
  <c r="H144" i="1"/>
  <c r="K144" i="1" s="1"/>
  <c r="H143" i="1"/>
  <c r="K143" i="1" s="1"/>
  <c r="H142" i="1"/>
  <c r="K142" i="1" s="1"/>
  <c r="H141" i="1"/>
  <c r="J141" i="1" s="1"/>
  <c r="H140" i="1"/>
  <c r="J140" i="1" s="1"/>
  <c r="H139" i="1"/>
  <c r="J139" i="1" s="1"/>
  <c r="H138" i="1"/>
  <c r="J138" i="1" s="1"/>
  <c r="H137" i="1"/>
  <c r="J137" i="1" s="1"/>
  <c r="H136" i="1"/>
  <c r="J136" i="1" s="1"/>
  <c r="H135" i="1"/>
  <c r="J135" i="1" s="1"/>
  <c r="H134" i="1"/>
  <c r="J134" i="1" s="1"/>
  <c r="H133" i="1"/>
  <c r="I133" i="1" s="1"/>
  <c r="H132" i="1"/>
  <c r="K132" i="1" s="1"/>
  <c r="H131" i="1"/>
  <c r="K131" i="1" s="1"/>
  <c r="H130" i="1"/>
  <c r="K130" i="1" s="1"/>
  <c r="H129" i="1"/>
  <c r="K129" i="1" s="1"/>
  <c r="H128" i="1"/>
  <c r="K128" i="1" s="1"/>
  <c r="H127" i="1"/>
  <c r="K127" i="1" s="1"/>
  <c r="H126" i="1"/>
  <c r="K126" i="1" s="1"/>
  <c r="H125" i="1"/>
  <c r="K125" i="1" s="1"/>
  <c r="H124" i="1"/>
  <c r="K124" i="1" s="1"/>
  <c r="H123" i="1"/>
  <c r="J123" i="1" s="1"/>
  <c r="H122" i="1"/>
  <c r="J122" i="1" s="1"/>
  <c r="H121" i="1"/>
  <c r="J121" i="1" s="1"/>
  <c r="H120" i="1"/>
  <c r="J120" i="1" s="1"/>
  <c r="H119" i="1"/>
  <c r="J119" i="1" s="1"/>
  <c r="H118" i="1"/>
  <c r="J118" i="1" s="1"/>
  <c r="H117" i="1"/>
  <c r="J117" i="1" s="1"/>
  <c r="H116" i="1"/>
  <c r="J116" i="1" s="1"/>
  <c r="H115" i="1"/>
  <c r="I115" i="1" s="1"/>
  <c r="H114" i="1"/>
  <c r="K114" i="1" s="1"/>
  <c r="H113" i="1"/>
  <c r="K113" i="1" s="1"/>
  <c r="H112" i="1"/>
  <c r="K112" i="1" s="1"/>
  <c r="H111" i="1"/>
  <c r="K111" i="1" s="1"/>
  <c r="H110" i="1"/>
  <c r="K110" i="1" s="1"/>
  <c r="H109" i="1"/>
  <c r="K109" i="1" s="1"/>
  <c r="K108" i="1"/>
  <c r="H108" i="1"/>
  <c r="H107" i="1"/>
  <c r="K107" i="1" s="1"/>
  <c r="H106" i="1"/>
  <c r="K106" i="1" s="1"/>
  <c r="H105" i="1"/>
  <c r="J105" i="1" s="1"/>
  <c r="H104" i="1"/>
  <c r="J104" i="1" s="1"/>
  <c r="H103" i="1"/>
  <c r="J103" i="1" s="1"/>
  <c r="H102" i="1"/>
  <c r="J102" i="1" s="1"/>
  <c r="H101" i="1"/>
  <c r="J101" i="1" s="1"/>
  <c r="H100" i="1"/>
  <c r="J100" i="1" s="1"/>
  <c r="H99" i="1"/>
  <c r="J99" i="1" s="1"/>
  <c r="H98" i="1"/>
  <c r="J98" i="1" s="1"/>
  <c r="H97" i="1"/>
  <c r="I97" i="1" s="1"/>
  <c r="H96" i="1"/>
  <c r="K96" i="1" s="1"/>
  <c r="H95" i="1"/>
  <c r="K95" i="1" s="1"/>
  <c r="H94" i="1"/>
  <c r="K94" i="1" s="1"/>
  <c r="H93" i="1"/>
  <c r="K93" i="1" s="1"/>
  <c r="H92" i="1"/>
  <c r="K92" i="1" s="1"/>
  <c r="H91" i="1"/>
  <c r="K91" i="1" s="1"/>
  <c r="H90" i="1"/>
  <c r="K90" i="1" s="1"/>
  <c r="H89" i="1"/>
  <c r="K89" i="1" s="1"/>
  <c r="H88" i="1"/>
  <c r="J88" i="1" s="1"/>
  <c r="H87" i="1"/>
  <c r="J87" i="1" s="1"/>
  <c r="H86" i="1"/>
  <c r="J86" i="1" s="1"/>
  <c r="H85" i="1"/>
  <c r="J85" i="1" s="1"/>
  <c r="H84" i="1"/>
  <c r="J84" i="1" s="1"/>
  <c r="H83" i="1"/>
  <c r="J83" i="1" s="1"/>
  <c r="H82" i="1"/>
  <c r="J82" i="1" s="1"/>
  <c r="J81" i="1"/>
  <c r="H81" i="1"/>
  <c r="H80" i="1"/>
  <c r="I80" i="1" s="1"/>
  <c r="H79" i="1"/>
  <c r="K79" i="1" s="1"/>
  <c r="H78" i="1"/>
  <c r="K78" i="1" s="1"/>
  <c r="H77" i="1"/>
  <c r="K77" i="1" s="1"/>
  <c r="H76" i="1"/>
  <c r="K76" i="1" s="1"/>
  <c r="H75" i="1"/>
  <c r="K75" i="1" s="1"/>
  <c r="H74" i="1"/>
  <c r="K74" i="1" s="1"/>
  <c r="H73" i="1"/>
  <c r="K73" i="1" s="1"/>
  <c r="H72" i="1"/>
  <c r="K72" i="1" s="1"/>
  <c r="H71" i="1"/>
  <c r="K71" i="1" s="1"/>
  <c r="H70" i="1"/>
  <c r="K70" i="1" s="1"/>
  <c r="H69" i="1"/>
  <c r="J69" i="1" s="1"/>
  <c r="H68" i="1"/>
  <c r="J68" i="1" s="1"/>
  <c r="H67" i="1"/>
  <c r="J67" i="1" s="1"/>
  <c r="H66" i="1"/>
  <c r="J66" i="1" s="1"/>
  <c r="H65" i="1"/>
  <c r="J65" i="1" s="1"/>
  <c r="H64" i="1"/>
  <c r="J64" i="1" s="1"/>
  <c r="H63" i="1"/>
  <c r="J63" i="1" s="1"/>
  <c r="H62" i="1"/>
  <c r="J62" i="1" s="1"/>
  <c r="H61" i="1"/>
  <c r="I61" i="1" s="1"/>
  <c r="H60" i="1"/>
  <c r="K60" i="1" s="1"/>
  <c r="H59" i="1"/>
  <c r="K59" i="1" s="1"/>
  <c r="H58" i="1"/>
  <c r="K58" i="1" s="1"/>
  <c r="H57" i="1"/>
  <c r="K57" i="1" s="1"/>
  <c r="H56" i="1"/>
  <c r="J56" i="1" s="1"/>
  <c r="H55" i="1"/>
  <c r="J55" i="1" s="1"/>
  <c r="H54" i="1"/>
  <c r="J54" i="1" s="1"/>
  <c r="H53" i="1"/>
  <c r="J53" i="1" s="1"/>
  <c r="H52" i="1"/>
  <c r="I52" i="1" s="1"/>
  <c r="H51" i="1"/>
  <c r="K51" i="1" s="1"/>
  <c r="H50" i="1"/>
  <c r="K50" i="1" s="1"/>
  <c r="H49" i="1"/>
  <c r="K49" i="1" s="1"/>
  <c r="H48" i="1"/>
  <c r="J48" i="1" s="1"/>
  <c r="H47" i="1"/>
  <c r="J47" i="1" s="1"/>
  <c r="H46" i="1"/>
  <c r="J46" i="1" s="1"/>
  <c r="H45" i="1"/>
  <c r="I45" i="1" s="1"/>
  <c r="H44" i="1"/>
  <c r="K44" i="1" s="1"/>
  <c r="H43" i="1"/>
  <c r="I43" i="1" s="1"/>
  <c r="H42" i="1"/>
  <c r="K42" i="1" s="1"/>
  <c r="H41" i="1"/>
  <c r="J41" i="1" s="1"/>
  <c r="H40" i="1"/>
  <c r="J40" i="1" s="1"/>
  <c r="H39" i="1"/>
  <c r="K39" i="1" s="1"/>
  <c r="H38" i="1"/>
  <c r="K38" i="1" s="1"/>
  <c r="H37" i="1"/>
  <c r="J37" i="1" s="1"/>
  <c r="H36" i="1"/>
  <c r="J36" i="1" s="1"/>
  <c r="H35" i="1"/>
  <c r="J35" i="1" s="1"/>
  <c r="H34" i="1"/>
  <c r="J34" i="1" s="1"/>
  <c r="H33" i="1"/>
  <c r="J33" i="1" s="1"/>
  <c r="H32" i="1"/>
  <c r="J32" i="1" s="1"/>
  <c r="H31" i="1"/>
  <c r="J31" i="1" s="1"/>
  <c r="H30" i="1"/>
  <c r="J30" i="1" s="1"/>
  <c r="H29" i="1"/>
  <c r="I29" i="1" s="1"/>
  <c r="K28" i="1"/>
  <c r="H28" i="1"/>
  <c r="H27" i="1"/>
  <c r="K27" i="1" s="1"/>
  <c r="H26" i="1"/>
  <c r="J26" i="1" s="1"/>
  <c r="H25" i="1"/>
  <c r="J25" i="1" s="1"/>
  <c r="H24" i="1"/>
  <c r="K24" i="1" s="1"/>
  <c r="H23" i="1"/>
  <c r="J23" i="1" s="1"/>
  <c r="H22" i="1"/>
  <c r="J22" i="1" s="1"/>
  <c r="H21" i="1"/>
  <c r="K21" i="1" s="1"/>
  <c r="H20" i="1"/>
  <c r="J20" i="1" s="1"/>
  <c r="H19" i="1"/>
  <c r="J19" i="1" s="1"/>
  <c r="H18" i="1"/>
  <c r="J18" i="1" s="1"/>
  <c r="H17" i="1"/>
  <c r="I17" i="1" s="1"/>
  <c r="H16" i="1"/>
  <c r="K16" i="1" s="1"/>
  <c r="K590" i="1" l="1"/>
  <c r="H594" i="1" s="1"/>
  <c r="H595" i="1" s="1"/>
  <c r="I590" i="1"/>
  <c r="H592" i="1" s="1"/>
  <c r="J590" i="1"/>
  <c r="H593" i="1" s="1"/>
  <c r="H590" i="1"/>
  <c r="H600" i="1" l="1"/>
  <c r="H601" i="1" s="1"/>
  <c r="H602" i="1" s="1"/>
  <c r="H603" i="1" s="1"/>
  <c r="H604" i="1" s="1"/>
</calcChain>
</file>

<file path=xl/sharedStrings.xml><?xml version="1.0" encoding="utf-8"?>
<sst xmlns="http://schemas.openxmlformats.org/spreadsheetml/2006/main" count="5882" uniqueCount="1573">
  <si>
    <t>НАИМЕНОВАНИЕ СТРОЙКИ: 7-БОЛНИЦА 2019</t>
  </si>
  <si>
    <t>НАИМЕНОВАНИЕ ОБЪЕКТА: БЛОК 1,2,3,4,5</t>
  </si>
  <si>
    <t>ЛОКАЛЬНАЯ РЕСУРСНАЯ ВЕДОМОСТЬ № С-03</t>
  </si>
  <si>
    <t>КОНСТРУКТИВНЫЕ РЕШЕНИЕ (КР) БЛОК 2</t>
  </si>
  <si>
    <t xml:space="preserve">ОСНОВАНИЕ:РАБОЧИЙ ПРОЕКТ </t>
  </si>
  <si>
    <t>№№</t>
  </si>
  <si>
    <t>ОБОСНОВАНИЕ</t>
  </si>
  <si>
    <t>НАИМЕНОВАНИЕ РАБОТ И РЕСУРСОВ</t>
  </si>
  <si>
    <t>ЕД.ИЗМ</t>
  </si>
  <si>
    <t>КОЛ-ВО</t>
  </si>
  <si>
    <t>НА ЕДИНИЦУ</t>
  </si>
  <si>
    <t>ПО ПРОЕКТУ</t>
  </si>
  <si>
    <t>ЗЕМЛЯНЫЕ РАБОТЫ (ЛИСТ 2)</t>
  </si>
  <si>
    <t>1</t>
  </si>
  <si>
    <t>E1-1-197-2 ШHК.ДОП.11</t>
  </si>
  <si>
    <t>РАЗРАБОТКА ГРУНТА С ПОГРУЗКОЙ В АВТОМОБИЛИ-САМОСВАЛЫ ЭКСКАВАТОРАМИ ТИПА "ATLAS", "VOLVO", "KOMATSU", "HITACHI", "LIEBHER", "HYUNDAI ROBEX" С КОВШОМ ВМЕСТИМОСТЬЮ 1,0 /1-1,24/ М3, ГРУППА ГРУНТОВ:2</t>
  </si>
  <si>
    <t>1000М3</t>
  </si>
  <si>
    <t>8,57921</t>
  </si>
  <si>
    <t>1.1</t>
  </si>
  <si>
    <t>000001</t>
  </si>
  <si>
    <t>ЗАТРАТЫ ТРУДА РАБОЧИХ-СТРОИТЕЛЕЙ</t>
  </si>
  <si>
    <t>ЧЕЛ-Ч</t>
  </si>
  <si>
    <t>5,86</t>
  </si>
  <si>
    <t>50,2741706</t>
  </si>
  <si>
    <t>1.2</t>
  </si>
  <si>
    <t>000003</t>
  </si>
  <si>
    <t>ЗАТРАТЫ ТРУДА МАШИНИСТОВ</t>
  </si>
  <si>
    <t>29,2</t>
  </si>
  <si>
    <t>250,512932</t>
  </si>
  <si>
    <t>1.3</t>
  </si>
  <si>
    <t>000258</t>
  </si>
  <si>
    <t>БУЛЬДОЗЕРЫ ПРИ РАБОТЕ НА ДРУГИХ ВИДАХ СТРОИТЕЛЬСТВА (КРОМЕ ВОДОХОЗЯЙСТВЕННОГО) 79 (108) КВТ (Л.С.)</t>
  </si>
  <si>
    <t>МАШ-Ч</t>
  </si>
  <si>
    <t>3,92</t>
  </si>
  <si>
    <t>33,6305032</t>
  </si>
  <si>
    <t>1.4</t>
  </si>
  <si>
    <t>001942</t>
  </si>
  <si>
    <t>ЭКСКАВАТОРЫ НА ГУСЕНИЧНОМ ХОДУ ТИПА "ATLAS", "VOLVO", "KOMATSU", "HITACHI", "LIEBHER", HYUNDAI ROBEX С ЕМКОСТЬЮ КОВША 1,0 М3</t>
  </si>
  <si>
    <t>12,64</t>
  </si>
  <si>
    <t>108,4412144</t>
  </si>
  <si>
    <t>2</t>
  </si>
  <si>
    <t>С310-1015</t>
  </si>
  <si>
    <t>ВЫВОЗ СУЩЕСТВУЮЩЕГО ГРУНТОВ АВТОМОБИЛЕМ НА 15 КМ, КЛАСС ГРУЗА 1</t>
  </si>
  <si>
    <t>Т</t>
  </si>
  <si>
    <t>10295,052</t>
  </si>
  <si>
    <t>2.1</t>
  </si>
  <si>
    <t>0,1264</t>
  </si>
  <si>
    <t>1301,2945728</t>
  </si>
  <si>
    <t>2.2</t>
  </si>
  <si>
    <t>000163</t>
  </si>
  <si>
    <t>АВТОМОБИЛИ-САМОСВАЛЫ ГРУЗОПОДЪЕМНОСТЬЮ ДО 10 Т</t>
  </si>
  <si>
    <t>3</t>
  </si>
  <si>
    <t>ПЕРЕВОЗКА НОВОГО ГРУНТА АВТОМОБИЛЕМ НА 15 КМ, КЛАСС ГРУЗА 1</t>
  </si>
  <si>
    <t>5537,076</t>
  </si>
  <si>
    <t>3.1</t>
  </si>
  <si>
    <t>699,8864064</t>
  </si>
  <si>
    <t>3.2</t>
  </si>
  <si>
    <t>4</t>
  </si>
  <si>
    <t>С140-9656</t>
  </si>
  <si>
    <t>ГРУНТ СУГЛИНИСТЫЙ</t>
  </si>
  <si>
    <t>М3</t>
  </si>
  <si>
    <t>4614,23</t>
  </si>
  <si>
    <t>5</t>
  </si>
  <si>
    <t>E1-2-10-1</t>
  </si>
  <si>
    <t>УСТРОЙСТВО ГРУНТОВЫХ ПОДУШЕК НА ПРОСАДОЧНЫХ ГРУНТАХ МЕТОДОМ ПОСЛОЙНОЙ УКАТКИ</t>
  </si>
  <si>
    <t>4,61423</t>
  </si>
  <si>
    <t>5.1</t>
  </si>
  <si>
    <t>2,02</t>
  </si>
  <si>
    <t>9,3207446</t>
  </si>
  <si>
    <t>5.2</t>
  </si>
  <si>
    <t>95,1</t>
  </si>
  <si>
    <t>438,813273</t>
  </si>
  <si>
    <t>5.3</t>
  </si>
  <si>
    <t>13,42</t>
  </si>
  <si>
    <t>61,9229666</t>
  </si>
  <si>
    <t>5.4</t>
  </si>
  <si>
    <t>000613</t>
  </si>
  <si>
    <t>КАТКИ ДОРОЖНЫЕ ПРИЦЕПНЫЕ КУЛАЧКОВЫЕ 8 Т</t>
  </si>
  <si>
    <t>28,49</t>
  </si>
  <si>
    <t>131,4594127</t>
  </si>
  <si>
    <t>5.5</t>
  </si>
  <si>
    <t>000621</t>
  </si>
  <si>
    <t>КАТКИ ДОРОЖНЫЕ САМОХОДНЫЕ ГЛАДКИЕ 8 Т</t>
  </si>
  <si>
    <t>29,53</t>
  </si>
  <si>
    <t>136,2582119</t>
  </si>
  <si>
    <t>5.6</t>
  </si>
  <si>
    <t>001135</t>
  </si>
  <si>
    <t>МАШИНЫ ПОЛИВОМОЕЧНЫЕ 6000 Л</t>
  </si>
  <si>
    <t>0,11</t>
  </si>
  <si>
    <t>0,5075653</t>
  </si>
  <si>
    <t>5.7</t>
  </si>
  <si>
    <t>001669</t>
  </si>
  <si>
    <t>СКРЕПЕРЫ ПРИЦЕПНЫЕ (С ГУСЕНИЧНЫМ ТРАКТОРОМ) ПРИ РАБОТЕ НА ДРУГИХ ВИДАХ СТРОИТЕЛЬСТВА (КРОМЕ ВОДОХОЗЯЙСТВЕННОГО), ВМЕСТИМОСТЬ КОВША 8 М3</t>
  </si>
  <si>
    <t>22,34</t>
  </si>
  <si>
    <t>103,0818982</t>
  </si>
  <si>
    <t>5.8</t>
  </si>
  <si>
    <t>001834</t>
  </si>
  <si>
    <t>ТРАКТОРЫ НА ГУСЕНИЧНОМ ХОДУ ПРИ РАБОТЕ НА ДРУГИХ ВИДАХ СТРОИТЕЛЬСТВА (КРОМЕ ВОДОХОЗЯЙСТВЕННОГО) ДО 59 (80) КВТ (Л.С.)</t>
  </si>
  <si>
    <t>1,21</t>
  </si>
  <si>
    <t>5,5832183</t>
  </si>
  <si>
    <t>5.9</t>
  </si>
  <si>
    <t>001835</t>
  </si>
  <si>
    <t>ТРАКТОРЫ НА ГУСЕНИЧНОМ ХОДУ ПРИ РАБОТЕ НА ДРУГИХ ВИДАХ СТРОИТЕЛЬСТВА (КРОМЕ ВОДОХОЗЯЙСТВЕННОГО) 79 (108) КВТ (Л.С.)</t>
  </si>
  <si>
    <t>5.10</t>
  </si>
  <si>
    <t>009210</t>
  </si>
  <si>
    <t>ВОДА</t>
  </si>
  <si>
    <t>18,45692</t>
  </si>
  <si>
    <t>6</t>
  </si>
  <si>
    <t>E1-1-33-5</t>
  </si>
  <si>
    <t>ЗАСЫПКА ТРАНШЕЙ И КОТЛОВАНОВ С ПЕРЕМЕЩЕНИЕМ ГРУНТА ДО 5 М БУЛЬДОЗЕРАМИ МОЩНОСТЬЮ 79 [108] КВТ [Л.С.], 2 ГРУППА ГРУНТОВ</t>
  </si>
  <si>
    <t>1,29567</t>
  </si>
  <si>
    <t>6.1</t>
  </si>
  <si>
    <t>4,18</t>
  </si>
  <si>
    <t>5,4159006</t>
  </si>
  <si>
    <t>6.2</t>
  </si>
  <si>
    <t>7</t>
  </si>
  <si>
    <t>E1-2-61-2</t>
  </si>
  <si>
    <t>ОБРАТНАЯ ЗАСЫПКА ВРУЧНУЮ ТРАНШЕЙ, ПАЗУХ КОТЛОВАНОВ И ЯМ, ГРУППА ГРУНТОВ 2</t>
  </si>
  <si>
    <t>100М3</t>
  </si>
  <si>
    <t>0,68193</t>
  </si>
  <si>
    <t>7.1</t>
  </si>
  <si>
    <t>97,2</t>
  </si>
  <si>
    <t>66,283596</t>
  </si>
  <si>
    <t>8</t>
  </si>
  <si>
    <t>E1-2-5-1</t>
  </si>
  <si>
    <t>УПЛОТНЕНИЕ ГРУНТА ПНЕВМАТИЧЕСКИМИ ТРАМБОВКАМИ, ГРУППА ГРУНТОВ 1, 2</t>
  </si>
  <si>
    <t>12,95667</t>
  </si>
  <si>
    <t>8.1</t>
  </si>
  <si>
    <t>12,53</t>
  </si>
  <si>
    <t>162,3470751</t>
  </si>
  <si>
    <t>8.2</t>
  </si>
  <si>
    <t>3,04</t>
  </si>
  <si>
    <t>39,3882768</t>
  </si>
  <si>
    <t>8.3</t>
  </si>
  <si>
    <t>000660</t>
  </si>
  <si>
    <t>КОМПРЕССОРЫ ПЕРЕДВИЖНЫЕ С ДВИГАТЕЛЕМ ВНУТРЕННЕГО СГОРАНИЯ ДАВЛЕНИЕМ ДО 686 КПА (7 АТМ.) 5 М3/МИН</t>
  </si>
  <si>
    <t>8.4</t>
  </si>
  <si>
    <t>001866</t>
  </si>
  <si>
    <t>ТРАМБОВКИ ПНЕВМАТИЧЕСКИЕ</t>
  </si>
  <si>
    <t>12,18</t>
  </si>
  <si>
    <t>157,8122406</t>
  </si>
  <si>
    <t>ФУНДАМЕНТНАЯ ПЛИТА (ЛИСТ 3)</t>
  </si>
  <si>
    <t>9</t>
  </si>
  <si>
    <t>E6-1-1-1</t>
  </si>
  <si>
    <t>УСТРОЙСТВО БЕТОННОЙ ПОДГОТОВКИ</t>
  </si>
  <si>
    <t>0,553</t>
  </si>
  <si>
    <t>9.1</t>
  </si>
  <si>
    <t>180</t>
  </si>
  <si>
    <t>99,54</t>
  </si>
  <si>
    <t>9.2</t>
  </si>
  <si>
    <t>18,13</t>
  </si>
  <si>
    <t>10,02589</t>
  </si>
  <si>
    <t>9.3</t>
  </si>
  <si>
    <t>000403</t>
  </si>
  <si>
    <t>ВИБРАТОРЫ ГЛУБИННЫЕ</t>
  </si>
  <si>
    <t>48</t>
  </si>
  <si>
    <t>26,544</t>
  </si>
  <si>
    <t>9.4</t>
  </si>
  <si>
    <t>000698</t>
  </si>
  <si>
    <t>КРАНЫ БАШЕННЫЕ ПРИ РАБОТЕ НА ДРУГИХ ВИДАХ СТРОИТЕЛЬСТВА (КРОМЕ МОНТАЖА ТЕХНОЛОГИЧЕСКОГО ОБОРУДОВАНИЯ) 8 Т</t>
  </si>
  <si>
    <t>18</t>
  </si>
  <si>
    <t>9,954</t>
  </si>
  <si>
    <t>9.5</t>
  </si>
  <si>
    <t>002509</t>
  </si>
  <si>
    <t>АВТОМОБИЛИ БОРТОВЫЕ ГРУЗОПОДЪЕМНОСТЬЮ ДО 5 Т</t>
  </si>
  <si>
    <t>0,13</t>
  </si>
  <si>
    <t>0,07189</t>
  </si>
  <si>
    <t>9.6</t>
  </si>
  <si>
    <t>009219</t>
  </si>
  <si>
    <t>0,2</t>
  </si>
  <si>
    <t>0,1106</t>
  </si>
  <si>
    <t>9.7</t>
  </si>
  <si>
    <t>022004</t>
  </si>
  <si>
    <t>БЕТОН ТЯЖЕЛЫЙ, КЛАСС В 10 (М150)</t>
  </si>
  <si>
    <t>102</t>
  </si>
  <si>
    <t>56,406</t>
  </si>
  <si>
    <t>9.8</t>
  </si>
  <si>
    <t>035516</t>
  </si>
  <si>
    <t>РОГОЖА</t>
  </si>
  <si>
    <t>М2</t>
  </si>
  <si>
    <t>250</t>
  </si>
  <si>
    <t>138,25</t>
  </si>
  <si>
    <t>10</t>
  </si>
  <si>
    <t>E6-1-1-16</t>
  </si>
  <si>
    <t>УСТРОЙСТВО ФУНДАМЕНТНЫХ ПЛИТ ЖЕЛЕЗОБЕТОННЫХ ПЛОСКИХ</t>
  </si>
  <si>
    <t>5,454</t>
  </si>
  <si>
    <t>10.1</t>
  </si>
  <si>
    <t>220,66</t>
  </si>
  <si>
    <t>1203,47964</t>
  </si>
  <si>
    <t>10.2</t>
  </si>
  <si>
    <t>28,78</t>
  </si>
  <si>
    <t>156,96612</t>
  </si>
  <si>
    <t>10.3</t>
  </si>
  <si>
    <t>000112</t>
  </si>
  <si>
    <t>АВТОПОГРУЗЧИКИ 5 Т</t>
  </si>
  <si>
    <t>0,27</t>
  </si>
  <si>
    <t>1,47258</t>
  </si>
  <si>
    <t>10.4</t>
  </si>
  <si>
    <t>10,71</t>
  </si>
  <si>
    <t>58,41234</t>
  </si>
  <si>
    <t>10.5</t>
  </si>
  <si>
    <t>26,06</t>
  </si>
  <si>
    <t>142,13124</t>
  </si>
  <si>
    <t>10.6</t>
  </si>
  <si>
    <t>000762</t>
  </si>
  <si>
    <t>КРАНЫ НА АВТОМОБИЛЬНОМ ХОДУ ПРИ РАБОТЕ НА ДРУГИХ ВИДАХ СТРОИТЕЛЬСТВА (КРОМЕ МАГИСТРАЛЬНЫХ ТРУБОПРОВОДОВ) 10 Т</t>
  </si>
  <si>
    <t>0,98</t>
  </si>
  <si>
    <t>5,34492</t>
  </si>
  <si>
    <t>10.7</t>
  </si>
  <si>
    <t>001571</t>
  </si>
  <si>
    <t>ПИЛА ЭЛЕКТРИЧЕСКАЯ ЦЕПНАЯ</t>
  </si>
  <si>
    <t>0,1</t>
  </si>
  <si>
    <t>0,5454</t>
  </si>
  <si>
    <t>10.8</t>
  </si>
  <si>
    <t>002016</t>
  </si>
  <si>
    <t>УСТАНОВКИ ДЛЯ СВАРКИ РУЧНОЙ ДУГОВОЙ (ПОСТОЯННОГО ТОКА)</t>
  </si>
  <si>
    <t>4,3</t>
  </si>
  <si>
    <t>23,4522</t>
  </si>
  <si>
    <t>10.9</t>
  </si>
  <si>
    <t>1,47</t>
  </si>
  <si>
    <t>8,01738</t>
  </si>
  <si>
    <t>10.10</t>
  </si>
  <si>
    <t>0,73</t>
  </si>
  <si>
    <t>3,98142</t>
  </si>
  <si>
    <t>10.11</t>
  </si>
  <si>
    <t>022007</t>
  </si>
  <si>
    <t>БЕТОН ТЯЖЕЛЫЙ, КЛАСС В20</t>
  </si>
  <si>
    <t>101,5</t>
  </si>
  <si>
    <t>553,581</t>
  </si>
  <si>
    <t>10.12</t>
  </si>
  <si>
    <t>030407</t>
  </si>
  <si>
    <t>ГВОЗДИ СТРОИТЕЛЬНЫЕ</t>
  </si>
  <si>
    <t>0,002</t>
  </si>
  <si>
    <t>0,010908</t>
  </si>
  <si>
    <t>10.13</t>
  </si>
  <si>
    <t>030652</t>
  </si>
  <si>
    <t>ИЗВЕСТЬ СТРОИТЕЛЬНАЯ НЕГАШЕНАЯ КОМОВАЯ, СОРТ 1</t>
  </si>
  <si>
    <t>0,01</t>
  </si>
  <si>
    <t>0,05454</t>
  </si>
  <si>
    <t>10.14</t>
  </si>
  <si>
    <t>032524</t>
  </si>
  <si>
    <t>КАТАНКА ГОРЯЧЕКАТАНАЯ В МОТКАХ ДИАМЕТРОМ 6,3-6,5 ММ</t>
  </si>
  <si>
    <t>0,0102</t>
  </si>
  <si>
    <t>0,0556308</t>
  </si>
  <si>
    <t>10.15</t>
  </si>
  <si>
    <t>035310</t>
  </si>
  <si>
    <t>ЭЛЕКТРОДЫ ДИАМЕТРОМ 4 ММ Э42</t>
  </si>
  <si>
    <t>0,005</t>
  </si>
  <si>
    <t>0,02727</t>
  </si>
  <si>
    <t>10.16</t>
  </si>
  <si>
    <t>30</t>
  </si>
  <si>
    <t>163,62</t>
  </si>
  <si>
    <t>10.17</t>
  </si>
  <si>
    <t>036061</t>
  </si>
  <si>
    <t>ПИЛОМАТЕРИАЛЫ ХВОЙНЫХ ПОРОД. ДОСКИ ОБРЕЗНЫЕ ДЛИНОЙ 4-6,5 М, ШИРИНОЙ 75-150 ММ, ТОЛЩИНОЙ 44 ММ И БОЛЕЕ III СОРТА</t>
  </si>
  <si>
    <t>0,04</t>
  </si>
  <si>
    <t>0,21816</t>
  </si>
  <si>
    <t>10.18</t>
  </si>
  <si>
    <t>051620</t>
  </si>
  <si>
    <t>ЩИТЫ ИЗ ДОСОК ТОЛЩИНОЙ 40 ММ</t>
  </si>
  <si>
    <t>3,6</t>
  </si>
  <si>
    <t>19,6344</t>
  </si>
  <si>
    <t>11</t>
  </si>
  <si>
    <t>E6-2-11-3 ШHК.ДОП.9</t>
  </si>
  <si>
    <t>ИЗГОТОВЛЕНИЕ ПЛОСКИХ И ОБЪЕМНЫХ АРМАТУРНЫХ КАРКАСОВ МЕТОДОМ ВЯЗКИ НА СТРОЙПЛОЩАДКЕ /ЗАГОТОВИТЕЛЬНОМ УЧАСТКЕ/</t>
  </si>
  <si>
    <t>13,13563</t>
  </si>
  <si>
    <t>11.1</t>
  </si>
  <si>
    <t>78,88</t>
  </si>
  <si>
    <t>1036,1384944</t>
  </si>
  <si>
    <t>11.2</t>
  </si>
  <si>
    <t>1,25</t>
  </si>
  <si>
    <t>16,4195375</t>
  </si>
  <si>
    <t>11.3</t>
  </si>
  <si>
    <t>12,8729174</t>
  </si>
  <si>
    <t>11.4</t>
  </si>
  <si>
    <t>0,14</t>
  </si>
  <si>
    <t>1,8389882</t>
  </si>
  <si>
    <t>11.5</t>
  </si>
  <si>
    <t>001523</t>
  </si>
  <si>
    <t>ПИЛА ДИСКОВАЯ ЭЛЕКТРИЧЕСКАЯ</t>
  </si>
  <si>
    <t>0,12</t>
  </si>
  <si>
    <t>1,5762756</t>
  </si>
  <si>
    <t>11.6</t>
  </si>
  <si>
    <t>002484</t>
  </si>
  <si>
    <t>СТАНОК ДЛЯ ГИБКИ АРМАТУРЫ</t>
  </si>
  <si>
    <t>1,4</t>
  </si>
  <si>
    <t>18,389882</t>
  </si>
  <si>
    <t>11.7</t>
  </si>
  <si>
    <t>002512</t>
  </si>
  <si>
    <t>АВТОМОБИЛИ БОРТОВЫЕ ГРУЗОПОДЪЕМНОСТЬЮ ДО 10 Т</t>
  </si>
  <si>
    <t>1,7076319</t>
  </si>
  <si>
    <t>11.8</t>
  </si>
  <si>
    <t>002577</t>
  </si>
  <si>
    <t>АППАРАТЫ ДЛЯ ГАЗОВОЙ СВАРКИ И РЕЗКИ</t>
  </si>
  <si>
    <t>0,86</t>
  </si>
  <si>
    <t>11,2966418</t>
  </si>
  <si>
    <t>11.9</t>
  </si>
  <si>
    <t>002769</t>
  </si>
  <si>
    <t>СТАНОК ДЛЯ РУБКИ АРМАТУРЫ</t>
  </si>
  <si>
    <t>2,1</t>
  </si>
  <si>
    <t>27,584823</t>
  </si>
  <si>
    <t>11.10</t>
  </si>
  <si>
    <t>034241</t>
  </si>
  <si>
    <t>КИСЛОРОД ТЕХНИЧЕСКИЙ ГАЗООБРАЗНЫЙ</t>
  </si>
  <si>
    <t>2,6</t>
  </si>
  <si>
    <t>34,152638</t>
  </si>
  <si>
    <t>11.11</t>
  </si>
  <si>
    <t>043899</t>
  </si>
  <si>
    <t>ПРОВОЛОКА ВЯЗАЛЬНАЯ</t>
  </si>
  <si>
    <t>0,007</t>
  </si>
  <si>
    <t>0,09194941</t>
  </si>
  <si>
    <t>11.12</t>
  </si>
  <si>
    <t>045002</t>
  </si>
  <si>
    <t>КРУГ ОТРЕЗНОЙ</t>
  </si>
  <si>
    <t>ШТ</t>
  </si>
  <si>
    <t>0,5</t>
  </si>
  <si>
    <t>6,567815</t>
  </si>
  <si>
    <t>11.13</t>
  </si>
  <si>
    <t>045077</t>
  </si>
  <si>
    <t>ПРОПАН-БУТАН, СМЕСЬ ТЕХНИЧЕСКАЯ</t>
  </si>
  <si>
    <t>КГ</t>
  </si>
  <si>
    <t>1,8</t>
  </si>
  <si>
    <t>23,644134</t>
  </si>
  <si>
    <t>12</t>
  </si>
  <si>
    <t>С124-23</t>
  </si>
  <si>
    <t>ГОРЯЧЕКАТАННАЯ АРМАТУРНАЯ СТАЛЬ ПЕРИОДИЧЕСКОГО ПРОФИЛЯ КЛАССА А-III ДИАМЕТРОМ 14 ММ</t>
  </si>
  <si>
    <t>13,39834</t>
  </si>
  <si>
    <t>ДОПОЛНИТЕЛЬНЫХ СТЕРЖНЕЙ ПО НИЖНЕЙ ГРАНИ ФУНДАМЕНТНОЙ ПЛИТЫ (ЛИСТ 4)</t>
  </si>
  <si>
    <t>13</t>
  </si>
  <si>
    <t>4,78516</t>
  </si>
  <si>
    <t>13.1</t>
  </si>
  <si>
    <t>377,4534208</t>
  </si>
  <si>
    <t>13.2</t>
  </si>
  <si>
    <t>5,98145</t>
  </si>
  <si>
    <t>13.3</t>
  </si>
  <si>
    <t>4,6894568</t>
  </si>
  <si>
    <t>13.4</t>
  </si>
  <si>
    <t>0,6699224</t>
  </si>
  <si>
    <t>13.5</t>
  </si>
  <si>
    <t>0,5742192</t>
  </si>
  <si>
    <t>13.6</t>
  </si>
  <si>
    <t>6,699224</t>
  </si>
  <si>
    <t>13.7</t>
  </si>
  <si>
    <t>0,6220708</t>
  </si>
  <si>
    <t>13.8</t>
  </si>
  <si>
    <t>4,1152376</t>
  </si>
  <si>
    <t>13.9</t>
  </si>
  <si>
    <t>10,048836</t>
  </si>
  <si>
    <t>13.10</t>
  </si>
  <si>
    <t>12,441416</t>
  </si>
  <si>
    <t>13.11</t>
  </si>
  <si>
    <t>0,03349612</t>
  </si>
  <si>
    <t>13.12</t>
  </si>
  <si>
    <t>2,39258</t>
  </si>
  <si>
    <t>13.13</t>
  </si>
  <si>
    <t>8,613288</t>
  </si>
  <si>
    <t>14</t>
  </si>
  <si>
    <t>С124-24-2</t>
  </si>
  <si>
    <t>ГОРЯЧЕКАТАННАЯ АРМАТУРНАЯ СТАЛЬ ПЕРИОДИЧЕСКОГО ПРОФИЛЯ КЛАССА А-III ДИАМЕТРОМ 18 ММ</t>
  </si>
  <si>
    <t>4,06123</t>
  </si>
  <si>
    <t>15</t>
  </si>
  <si>
    <t>С124-22</t>
  </si>
  <si>
    <t>ГОРЯЧЕКАТАННАЯ АРМАТУРНАЯ СТАЛЬ ПЕРИОДИЧЕСКОГО ПРОФИЛЯ КЛАССА А-III ДИАМЕТРОМ 12 ММ</t>
  </si>
  <si>
    <t>0,81963</t>
  </si>
  <si>
    <t>ДОПОЛНИТЕЛЬНЫХ СТЕРЖНЕЙ ПО ВЕРХНЕЙ ГРАНИ ФУНДАМЕНТНОЙ ПЛИТЫ (ЛИСТ 5)</t>
  </si>
  <si>
    <t>16</t>
  </si>
  <si>
    <t>1,14223</t>
  </si>
  <si>
    <t>16.1</t>
  </si>
  <si>
    <t>90,0991024</t>
  </si>
  <si>
    <t>16.2</t>
  </si>
  <si>
    <t>1,4277875</t>
  </si>
  <si>
    <t>16.3</t>
  </si>
  <si>
    <t>1,1193854</t>
  </si>
  <si>
    <t>16.4</t>
  </si>
  <si>
    <t>0,1599122</t>
  </si>
  <si>
    <t>16.5</t>
  </si>
  <si>
    <t>0,1370676</t>
  </si>
  <si>
    <t>16.6</t>
  </si>
  <si>
    <t>1,599122</t>
  </si>
  <si>
    <t>16.7</t>
  </si>
  <si>
    <t>0,1484899</t>
  </si>
  <si>
    <t>16.8</t>
  </si>
  <si>
    <t>0,9823178</t>
  </si>
  <si>
    <t>16.9</t>
  </si>
  <si>
    <t>2,398683</t>
  </si>
  <si>
    <t>16.10</t>
  </si>
  <si>
    <t>2,969798</t>
  </si>
  <si>
    <t>16.11</t>
  </si>
  <si>
    <t>0,00799561</t>
  </si>
  <si>
    <t>16.12</t>
  </si>
  <si>
    <t>0,571115</t>
  </si>
  <si>
    <t>16.13</t>
  </si>
  <si>
    <t>2,056014</t>
  </si>
  <si>
    <t>17</t>
  </si>
  <si>
    <t>0,44427</t>
  </si>
  <si>
    <t>0,7208</t>
  </si>
  <si>
    <t>ХОМУТЫ И ФИКСАТОРЫ (ЛИСТ 6)</t>
  </si>
  <si>
    <t>19</t>
  </si>
  <si>
    <t>18,71895</t>
  </si>
  <si>
    <t>19.1</t>
  </si>
  <si>
    <t>1476,550776</t>
  </si>
  <si>
    <t>19.2</t>
  </si>
  <si>
    <t>23,3986875</t>
  </si>
  <si>
    <t>19.3</t>
  </si>
  <si>
    <t>18,344571</t>
  </si>
  <si>
    <t>19.4</t>
  </si>
  <si>
    <t>2,620653</t>
  </si>
  <si>
    <t>19.5</t>
  </si>
  <si>
    <t>2,246274</t>
  </si>
  <si>
    <t>19.6</t>
  </si>
  <si>
    <t>26,20653</t>
  </si>
  <si>
    <t>19.7</t>
  </si>
  <si>
    <t>2,4334635</t>
  </si>
  <si>
    <t>19.8</t>
  </si>
  <si>
    <t>16,098297</t>
  </si>
  <si>
    <t>19.9</t>
  </si>
  <si>
    <t>39,309795</t>
  </si>
  <si>
    <t>19.10</t>
  </si>
  <si>
    <t>48,66927</t>
  </si>
  <si>
    <t>19.11</t>
  </si>
  <si>
    <t>0,13103265</t>
  </si>
  <si>
    <t>19.12</t>
  </si>
  <si>
    <t>9,359475</t>
  </si>
  <si>
    <t>19.13</t>
  </si>
  <si>
    <t>33,69411</t>
  </si>
  <si>
    <t>20</t>
  </si>
  <si>
    <t>15,7882</t>
  </si>
  <si>
    <t>21</t>
  </si>
  <si>
    <t>3,30513</t>
  </si>
  <si>
    <t>АРМАТУРНЫЕ ВЫПУСКИ ДЛЯ ЛИФТ.ШАХ (ЛИСТ 7)</t>
  </si>
  <si>
    <t>22</t>
  </si>
  <si>
    <t>0,29628</t>
  </si>
  <si>
    <t>22.1</t>
  </si>
  <si>
    <t>23,3705664</t>
  </si>
  <si>
    <t>22.2</t>
  </si>
  <si>
    <t>0,37035</t>
  </si>
  <si>
    <t>22.3</t>
  </si>
  <si>
    <t>0,2903544</t>
  </si>
  <si>
    <t>22.4</t>
  </si>
  <si>
    <t>0,0414792</t>
  </si>
  <si>
    <t>22.5</t>
  </si>
  <si>
    <t>0,0355536</t>
  </si>
  <si>
    <t>22.6</t>
  </si>
  <si>
    <t>0,414792</t>
  </si>
  <si>
    <t>22.7</t>
  </si>
  <si>
    <t>0,0385164</t>
  </si>
  <si>
    <t>22.8</t>
  </si>
  <si>
    <t>0,2548008</t>
  </si>
  <si>
    <t>22.9</t>
  </si>
  <si>
    <t>0,622188</t>
  </si>
  <si>
    <t>22.10</t>
  </si>
  <si>
    <t>0,770328</t>
  </si>
  <si>
    <t>22.11</t>
  </si>
  <si>
    <t>0,00207396</t>
  </si>
  <si>
    <t>22.12</t>
  </si>
  <si>
    <t>0,14814</t>
  </si>
  <si>
    <t>22.13</t>
  </si>
  <si>
    <t>0,533304</t>
  </si>
  <si>
    <t>23</t>
  </si>
  <si>
    <t>С124-21</t>
  </si>
  <si>
    <t>ГОРЯЧЕКАТАННАЯ АРМАТУРНАЯ СТАЛЬ ПЕРИОДИЧЕСКОГО ПРОФИЛЯ КЛАССА А-III ДИАМЕТРОМ 10 ММ</t>
  </si>
  <si>
    <t>0,30221</t>
  </si>
  <si>
    <t>УЗЕЛ 1-7 (ЛИСТ 8)</t>
  </si>
  <si>
    <t>24</t>
  </si>
  <si>
    <t>8,25765</t>
  </si>
  <si>
    <t>24.1</t>
  </si>
  <si>
    <t>651,363432</t>
  </si>
  <si>
    <t>24.2</t>
  </si>
  <si>
    <t>10,3220625</t>
  </si>
  <si>
    <t>24.3</t>
  </si>
  <si>
    <t>8,092497</t>
  </si>
  <si>
    <t>24.4</t>
  </si>
  <si>
    <t>1,156071</t>
  </si>
  <si>
    <t>24.5</t>
  </si>
  <si>
    <t>0,990918</t>
  </si>
  <si>
    <t>24.6</t>
  </si>
  <si>
    <t>11,56071</t>
  </si>
  <si>
    <t>24.7</t>
  </si>
  <si>
    <t>1,0734945</t>
  </si>
  <si>
    <t>24.8</t>
  </si>
  <si>
    <t>7,101579</t>
  </si>
  <si>
    <t>24.9</t>
  </si>
  <si>
    <t>17,341065</t>
  </si>
  <si>
    <t>24.10</t>
  </si>
  <si>
    <t>21,46989</t>
  </si>
  <si>
    <t>24.11</t>
  </si>
  <si>
    <t>0,05780355</t>
  </si>
  <si>
    <t>24.12</t>
  </si>
  <si>
    <t>4,128825</t>
  </si>
  <si>
    <t>24.13</t>
  </si>
  <si>
    <t>14,86377</t>
  </si>
  <si>
    <t>25</t>
  </si>
  <si>
    <t>С124-27</t>
  </si>
  <si>
    <t>ГОРЯЧЕКАТАННАЯ АРМАТУРНАЯ СТАЛЬ ПЕРИОДИЧЕСКОГО ПРОФИЛЯ КЛАССА А-III ДИАМЕТРОМ 32 ММ</t>
  </si>
  <si>
    <t>2,75539</t>
  </si>
  <si>
    <t>26</t>
  </si>
  <si>
    <t>С124-26</t>
  </si>
  <si>
    <t>ГОРЯЧЕКАТАННАЯ АРМАТУРНАЯ СТАЛЬ ПЕРИОДИЧЕСКОГО ПРОФИЛЯ КЛАССА А-III ДИАМЕТРОМ 28 ММ</t>
  </si>
  <si>
    <t>1,64181</t>
  </si>
  <si>
    <t>27</t>
  </si>
  <si>
    <t>ГОРЯЧЕКАТАННАЯ АРМАТУРНАЯ СТАЛЬ ПЕРИОДИЧЕСКОГО ПРОФИЛЯ КЛАССА А-III ДИАМЕТРОМ 25 ММ</t>
  </si>
  <si>
    <t>2,37688</t>
  </si>
  <si>
    <t>ТЕКШИРИНГ</t>
  </si>
  <si>
    <t>28</t>
  </si>
  <si>
    <t>С124-25-2</t>
  </si>
  <si>
    <t>ГОРЯЧЕКАТАННАЯ АРМАТУРНАЯ СТАЛЬ ПЕРИОДИЧЕСКОГО ПРОФИЛЯ КЛАССА А-III ДИАМЕТРОМ 22 ММ</t>
  </si>
  <si>
    <t>1,64873</t>
  </si>
  <si>
    <t>МОНОЛИТНЫЙ СТЕН ПОДВАЛА (ЛИСТ 9)</t>
  </si>
  <si>
    <t>29</t>
  </si>
  <si>
    <t>E6-1-24-4</t>
  </si>
  <si>
    <t>УСТРОЙСТВО СТЕН ПОДВАЛОВ И ПОДПОРНЫХ СТЕН ЖЕЛЕЗОБЕТОННЫХ ВЫСОТОЙ ДО 3 М, ТОЛЩИНОЙ ДО 500 ММ</t>
  </si>
  <si>
    <t>1,036</t>
  </si>
  <si>
    <t>29.1</t>
  </si>
  <si>
    <t>698,56</t>
  </si>
  <si>
    <t>723,70816</t>
  </si>
  <si>
    <t>29.2</t>
  </si>
  <si>
    <t>36,12</t>
  </si>
  <si>
    <t>37,42032</t>
  </si>
  <si>
    <t>29.3</t>
  </si>
  <si>
    <t>0,27972</t>
  </si>
  <si>
    <t>29.4</t>
  </si>
  <si>
    <t>35,22</t>
  </si>
  <si>
    <t>36,48792</t>
  </si>
  <si>
    <t>29.5</t>
  </si>
  <si>
    <t>31,3</t>
  </si>
  <si>
    <t>32,4268</t>
  </si>
  <si>
    <t>29.6</t>
  </si>
  <si>
    <t>1,82</t>
  </si>
  <si>
    <t>1,88552</t>
  </si>
  <si>
    <t>29.7</t>
  </si>
  <si>
    <t>1,28</t>
  </si>
  <si>
    <t>1,32608</t>
  </si>
  <si>
    <t>29.8</t>
  </si>
  <si>
    <t>66,64</t>
  </si>
  <si>
    <t>69,03904</t>
  </si>
  <si>
    <t>29.9</t>
  </si>
  <si>
    <t>2,73</t>
  </si>
  <si>
    <t>2,82828</t>
  </si>
  <si>
    <t>29.10</t>
  </si>
  <si>
    <t>0,134</t>
  </si>
  <si>
    <t>0,138824</t>
  </si>
  <si>
    <t>29.11</t>
  </si>
  <si>
    <t>105,154</t>
  </si>
  <si>
    <t>29.12</t>
  </si>
  <si>
    <t>030322</t>
  </si>
  <si>
    <t>БОЛТЫ СТРОИТЕЛЬНЫЕ С ГАЙКАМИ И ШАЙБАМИ</t>
  </si>
  <si>
    <t>0,08</t>
  </si>
  <si>
    <t>0,08288</t>
  </si>
  <si>
    <t>29.13</t>
  </si>
  <si>
    <t>0,051</t>
  </si>
  <si>
    <t>0,052836</t>
  </si>
  <si>
    <t>29.14</t>
  </si>
  <si>
    <t>0,045</t>
  </si>
  <si>
    <t>0,04662</t>
  </si>
  <si>
    <t>29.15</t>
  </si>
  <si>
    <t>29.16</t>
  </si>
  <si>
    <t>036025</t>
  </si>
  <si>
    <t>ПИЛОМАТЕРИАЛЫ ХВОЙНЫХ ПОРОД. БРУСКИ ОБРЕЗНЫЕ ДЛИНОЙ 4-6,5 М, ШИРИНОЙ 75-150 ММ, ТОЛЩИНОЙ 40-75 ММ III СОРТА</t>
  </si>
  <si>
    <t>0,12432</t>
  </si>
  <si>
    <t>29.17</t>
  </si>
  <si>
    <t>1,43</t>
  </si>
  <si>
    <t>1,48148</t>
  </si>
  <si>
    <t>29.18</t>
  </si>
  <si>
    <t>051619</t>
  </si>
  <si>
    <t>ЩИТЫ ИЗ ДОСОК ТОЛЩИНОЙ 25 ММ</t>
  </si>
  <si>
    <t>75</t>
  </si>
  <si>
    <t>77,7</t>
  </si>
  <si>
    <t>11,81578</t>
  </si>
  <si>
    <t>30.1</t>
  </si>
  <si>
    <t>932,0287264</t>
  </si>
  <si>
    <t>30.2</t>
  </si>
  <si>
    <t>14,769725</t>
  </si>
  <si>
    <t>30.3</t>
  </si>
  <si>
    <t>11,5794644</t>
  </si>
  <si>
    <t>30.4</t>
  </si>
  <si>
    <t>1,6542092</t>
  </si>
  <si>
    <t>30.5</t>
  </si>
  <si>
    <t>1,4178936</t>
  </si>
  <si>
    <t>30.6</t>
  </si>
  <si>
    <t>16,542092</t>
  </si>
  <si>
    <t>30.7</t>
  </si>
  <si>
    <t>1,5360514</t>
  </si>
  <si>
    <t>30.8</t>
  </si>
  <si>
    <t>10,1615708</t>
  </si>
  <si>
    <t>30.9</t>
  </si>
  <si>
    <t>24,813138</t>
  </si>
  <si>
    <t>30.10</t>
  </si>
  <si>
    <t>30,721028</t>
  </si>
  <si>
    <t>30.11</t>
  </si>
  <si>
    <t>0,08271046</t>
  </si>
  <si>
    <t>30.12</t>
  </si>
  <si>
    <t>5,90789</t>
  </si>
  <si>
    <t>30.13</t>
  </si>
  <si>
    <t>21,268404</t>
  </si>
  <si>
    <t>31</t>
  </si>
  <si>
    <t>С124-24-1</t>
  </si>
  <si>
    <t>ГОРЯЧЕКАТАННАЯ АРМАТУРНАЯ СТАЛЬ ПЕРИОДИЧЕСКОГО ПРОФИЛЯ КЛАССА А-III ДИАМЕТРОМ 16 ММ</t>
  </si>
  <si>
    <t>11,68593</t>
  </si>
  <si>
    <t>32</t>
  </si>
  <si>
    <t>С124-1</t>
  </si>
  <si>
    <t>ГОРЯЧЕКАТАНАЯ АРМАТУРНАЯ СТАЛЬ ГЛАДКАЯ КЛАССА А-I ДИАМЕТРОМ 6 ММ</t>
  </si>
  <si>
    <t>0,36617</t>
  </si>
  <si>
    <t>33</t>
  </si>
  <si>
    <t>E12-2-2-2 ШHК.ДОП.3</t>
  </si>
  <si>
    <t>УСТРОЙСТВО ГИДРОИЗОЛЯЦИЙ ВЕРТИКАЛЬНЫХ ПОВЕРХНОСТЕЙ. ОБМАЗОЧНАЯ БИТУМНАЯ В ОДИН СЛОЙ ПО ВЫРОВНЕННОЙ ПОВЕРХНОСТИ КИРПИЧА И БЕТОНА</t>
  </si>
  <si>
    <t>100М2</t>
  </si>
  <si>
    <t>4,65</t>
  </si>
  <si>
    <t>33.1</t>
  </si>
  <si>
    <t>29,9</t>
  </si>
  <si>
    <t>139,035</t>
  </si>
  <si>
    <t>33.2</t>
  </si>
  <si>
    <t>6,51</t>
  </si>
  <si>
    <t>33.3</t>
  </si>
  <si>
    <t>000659</t>
  </si>
  <si>
    <t>КОМПРЕССОРЫ ПЕРЕДВИЖНЫЕ С ДВИГАТЕЛЕМ ВНУТРЕННЕГО СГОРАНИЯ ДАВЛЕНИЕМ ДО 686 КПА (7 АТМ.) 2,2 М3/МИН</t>
  </si>
  <si>
    <t>33.4</t>
  </si>
  <si>
    <t>000913</t>
  </si>
  <si>
    <t>КОТЛЫ БИТУМНЫЕ ПЕРЕДВИЖНЫЕ 400 Л</t>
  </si>
  <si>
    <t>9,3</t>
  </si>
  <si>
    <t>33.5</t>
  </si>
  <si>
    <t>001522</t>
  </si>
  <si>
    <t>ПОДЪЕМНИКИ МАЧТОВЫЕ СТРОИТЕЛЬНЫЕ 0,5 Т</t>
  </si>
  <si>
    <t>0,15</t>
  </si>
  <si>
    <t>0,6975</t>
  </si>
  <si>
    <t>33.6</t>
  </si>
  <si>
    <t>0,25</t>
  </si>
  <si>
    <t>1,1625</t>
  </si>
  <si>
    <t>33.7</t>
  </si>
  <si>
    <t>032104</t>
  </si>
  <si>
    <t>МАСТИКА БИТУМНАЯ КРОВЕЛЬНАЯ ГОРЯЧАЯ</t>
  </si>
  <si>
    <t>0,244</t>
  </si>
  <si>
    <t>1,1346</t>
  </si>
  <si>
    <t>34</t>
  </si>
  <si>
    <t>E12-2-2-3 ШHК.ДОП.3</t>
  </si>
  <si>
    <t>УСТРОЙСТВО ГИДРОИЗОЛЯЦИЙ ВЕРТИКАЛЬНЫХ ПОВЕРХНОСТЕЙ. ОБМАЗОЧНАЯ БИТУМНАЯ НА КАЖДЫЙ СЛОЙ ДОБАВЛЯЕТСЯ</t>
  </si>
  <si>
    <t>34.1</t>
  </si>
  <si>
    <t>20,5</t>
  </si>
  <si>
    <t>95,325</t>
  </si>
  <si>
    <t>34.2</t>
  </si>
  <si>
    <t>0,29</t>
  </si>
  <si>
    <t>1,3485</t>
  </si>
  <si>
    <t>34.3</t>
  </si>
  <si>
    <t>34.4</t>
  </si>
  <si>
    <t>34.5</t>
  </si>
  <si>
    <t>0,651</t>
  </si>
  <si>
    <t>34.6</t>
  </si>
  <si>
    <t>35</t>
  </si>
  <si>
    <t>E46-3-3-10 ШHК.ДОП.7</t>
  </si>
  <si>
    <t>СВЕРЛЕНИЕ КОЛЬЦЕВЫМИ АЛМАЗНЫМИ КОРОНКАМИ ОТВЕРСТИЙ АГРЕГАТОМ HILTI DD 200 С ПРИМЕНЕНИЕМ ОХЛАЖДАЮЩИЙ ЖИДКОСТИ /ВОДЫ/ В ЖЕЛЕЗОБЕТОННЫХ КОНСТРУКЦИЯХ РИГЕЛЬ ТОЛЩИНОЙ ДО 400 ММ ДИАМЕТРОМ: 14 ММ</t>
  </si>
  <si>
    <t>ОТВЕРСТИЕ</t>
  </si>
  <si>
    <t>35.1</t>
  </si>
  <si>
    <t>4,37</t>
  </si>
  <si>
    <t>445,74</t>
  </si>
  <si>
    <t>35.2</t>
  </si>
  <si>
    <t>003325</t>
  </si>
  <si>
    <t>ДРЕЛЬ-ПЕРФОРАТОР ЭЛЕКТРИЧЕСКАЯ</t>
  </si>
  <si>
    <t>0,05</t>
  </si>
  <si>
    <t>5,1</t>
  </si>
  <si>
    <t>35.3</t>
  </si>
  <si>
    <t>003498</t>
  </si>
  <si>
    <t>СВЕРЛИЛЬНЫЙ АГРЕГАТ HILTI DD 200</t>
  </si>
  <si>
    <t>1,64</t>
  </si>
  <si>
    <t>167,28</t>
  </si>
  <si>
    <t>35.4</t>
  </si>
  <si>
    <t>8,16</t>
  </si>
  <si>
    <t>35.5</t>
  </si>
  <si>
    <t>029162</t>
  </si>
  <si>
    <t>БОЛТЫ АНКЕРНЫЕ /ТИП И ДИАМЕТР ПО ПРОЕКТУ/</t>
  </si>
  <si>
    <t>204</t>
  </si>
  <si>
    <t>35.6</t>
  </si>
  <si>
    <t>040316</t>
  </si>
  <si>
    <t>СТЕРЖНИ МЕТАЛЛИЧЕСКИЕ С РЕЗЬБОЙ</t>
  </si>
  <si>
    <t>М</t>
  </si>
  <si>
    <t>0,22</t>
  </si>
  <si>
    <t>22,44</t>
  </si>
  <si>
    <t>35.7</t>
  </si>
  <si>
    <t>040325</t>
  </si>
  <si>
    <t>КОРОНКА КОЛЬЦЕВАЯ АЛМАЗНАЯ ДИАМЕТРОМ 52 ММ</t>
  </si>
  <si>
    <t>0,245</t>
  </si>
  <si>
    <t>24,99</t>
  </si>
  <si>
    <t>35.8</t>
  </si>
  <si>
    <t>044782</t>
  </si>
  <si>
    <t>СВЕРЛО 12 ММ</t>
  </si>
  <si>
    <t>1,02</t>
  </si>
  <si>
    <t>КОЛОННА К1-К8 (ЛИСТ 20)</t>
  </si>
  <si>
    <t>36</t>
  </si>
  <si>
    <t>E6-1-26-4</t>
  </si>
  <si>
    <t>УСТРОЙСТВО ЖЕЛЕЗОБЕТОННЫХ КОЛОНН</t>
  </si>
  <si>
    <t>0,4108</t>
  </si>
  <si>
    <t>36.1</t>
  </si>
  <si>
    <t>1569,4</t>
  </si>
  <si>
    <t>644,70952</t>
  </si>
  <si>
    <t>36.2</t>
  </si>
  <si>
    <t>100,68</t>
  </si>
  <si>
    <t>41,359344</t>
  </si>
  <si>
    <t>36.3</t>
  </si>
  <si>
    <t>0,110916</t>
  </si>
  <si>
    <t>36.4</t>
  </si>
  <si>
    <t>61,88</t>
  </si>
  <si>
    <t>25,420304</t>
  </si>
  <si>
    <t>36.5</t>
  </si>
  <si>
    <t>93,3</t>
  </si>
  <si>
    <t>38,32764</t>
  </si>
  <si>
    <t>36.6</t>
  </si>
  <si>
    <t>2,84</t>
  </si>
  <si>
    <t>1,166672</t>
  </si>
  <si>
    <t>36.7</t>
  </si>
  <si>
    <t>1,9</t>
  </si>
  <si>
    <t>0,78052</t>
  </si>
  <si>
    <t>36.8</t>
  </si>
  <si>
    <t>124,95</t>
  </si>
  <si>
    <t>51,32946</t>
  </si>
  <si>
    <t>36.9</t>
  </si>
  <si>
    <t>4,27</t>
  </si>
  <si>
    <t>1,754116</t>
  </si>
  <si>
    <t>36.10</t>
  </si>
  <si>
    <t>0,1027</t>
  </si>
  <si>
    <t>36.11</t>
  </si>
  <si>
    <t>022009</t>
  </si>
  <si>
    <t>БЕТОН ТЯЖЕЛЫЙ, КЛАСС В25</t>
  </si>
  <si>
    <t>41,6962</t>
  </si>
  <si>
    <t>36.12</t>
  </si>
  <si>
    <t>0,018486</t>
  </si>
  <si>
    <t>36.13</t>
  </si>
  <si>
    <t>0,084</t>
  </si>
  <si>
    <t>0,0345072</t>
  </si>
  <si>
    <t>36.14</t>
  </si>
  <si>
    <t>0,06162</t>
  </si>
  <si>
    <t>36.15</t>
  </si>
  <si>
    <t>036080</t>
  </si>
  <si>
    <t>ПИЛОМАТЕРИАЛЫ ХВОЙНЫХ ПОРОД. ДОСКИ НЕОБРЕЗНЫЕ ДЛИНОЙ 4-6,5 М, ВСЕ ШИРИНЫ, ТОЛЩИНОЙ 44 ММ И БОЛЕЕ II СОРТА</t>
  </si>
  <si>
    <t>1,7</t>
  </si>
  <si>
    <t>0,69836</t>
  </si>
  <si>
    <t>36.16</t>
  </si>
  <si>
    <t>044050</t>
  </si>
  <si>
    <t>БРУСКИ ОБРЕЗНЫЕ ХВОЙНЫХ ПОРОД ДЛИНОЙ 2-6,5 М, ТОЛЩИНОЙ 40-60 ММ, 2 СОРТА</t>
  </si>
  <si>
    <t>36.17</t>
  </si>
  <si>
    <t>135</t>
  </si>
  <si>
    <t>55,458</t>
  </si>
  <si>
    <t>37</t>
  </si>
  <si>
    <t>16,969</t>
  </si>
  <si>
    <t>37.1</t>
  </si>
  <si>
    <t>1338,51472</t>
  </si>
  <si>
    <t>37.2</t>
  </si>
  <si>
    <t>21,21125</t>
  </si>
  <si>
    <t>37.3</t>
  </si>
  <si>
    <t>16,62962</t>
  </si>
  <si>
    <t>37.4</t>
  </si>
  <si>
    <t>2,37566</t>
  </si>
  <si>
    <t>37.5</t>
  </si>
  <si>
    <t>2,03628</t>
  </si>
  <si>
    <t>37.6</t>
  </si>
  <si>
    <t>23,7566</t>
  </si>
  <si>
    <t>37.7</t>
  </si>
  <si>
    <t>2,20597</t>
  </si>
  <si>
    <t>37.8</t>
  </si>
  <si>
    <t>14,59334</t>
  </si>
  <si>
    <t>37.9</t>
  </si>
  <si>
    <t>35,6349</t>
  </si>
  <si>
    <t>37.10</t>
  </si>
  <si>
    <t>44,1194</t>
  </si>
  <si>
    <t>37.11</t>
  </si>
  <si>
    <t>0,118783</t>
  </si>
  <si>
    <t>37.12</t>
  </si>
  <si>
    <t>8,4845</t>
  </si>
  <si>
    <t>37.13</t>
  </si>
  <si>
    <t>30,5442</t>
  </si>
  <si>
    <t>38</t>
  </si>
  <si>
    <t>0,23562</t>
  </si>
  <si>
    <t>39</t>
  </si>
  <si>
    <t>1,4025</t>
  </si>
  <si>
    <t>40</t>
  </si>
  <si>
    <t>4,1871</t>
  </si>
  <si>
    <t>41</t>
  </si>
  <si>
    <t>С124-3</t>
  </si>
  <si>
    <t>ГОРЯЧЕКАТАНАЯ АРМАТУРНАЯ СТАЛЬ ГЛАДКАЯ КЛАССА А-I ДИАМЕТРОМ 10 ММ</t>
  </si>
  <si>
    <t>11,48316</t>
  </si>
  <si>
    <t>КОЛОННА К9-К25 (ЛИСТ 22)</t>
  </si>
  <si>
    <t>42</t>
  </si>
  <si>
    <t>0,5738</t>
  </si>
  <si>
    <t>42.1</t>
  </si>
  <si>
    <t>900,52172</t>
  </si>
  <si>
    <t>42.2</t>
  </si>
  <si>
    <t>57,770184</t>
  </si>
  <si>
    <t>42.3</t>
  </si>
  <si>
    <t>0,154926</t>
  </si>
  <si>
    <t>42.4</t>
  </si>
  <si>
    <t>35,506744</t>
  </si>
  <si>
    <t>42.5</t>
  </si>
  <si>
    <t>53,53554</t>
  </si>
  <si>
    <t>42.6</t>
  </si>
  <si>
    <t>1,629592</t>
  </si>
  <si>
    <t>42.7</t>
  </si>
  <si>
    <t>1,09022</t>
  </si>
  <si>
    <t>42.8</t>
  </si>
  <si>
    <t>71,69631</t>
  </si>
  <si>
    <t>42.9</t>
  </si>
  <si>
    <t>2,450126</t>
  </si>
  <si>
    <t>42.10</t>
  </si>
  <si>
    <t>0,14345</t>
  </si>
  <si>
    <t>42.11</t>
  </si>
  <si>
    <t>58,2407</t>
  </si>
  <si>
    <t>42.12</t>
  </si>
  <si>
    <t>0,025821</t>
  </si>
  <si>
    <t>42.13</t>
  </si>
  <si>
    <t>0,0481992</t>
  </si>
  <si>
    <t>42.14</t>
  </si>
  <si>
    <t>0,08607</t>
  </si>
  <si>
    <t>42.15</t>
  </si>
  <si>
    <t>0,97546</t>
  </si>
  <si>
    <t>42.16</t>
  </si>
  <si>
    <t>42.17</t>
  </si>
  <si>
    <t>77,463</t>
  </si>
  <si>
    <t>43</t>
  </si>
  <si>
    <t>9,734</t>
  </si>
  <si>
    <t>43.1</t>
  </si>
  <si>
    <t>767,81792</t>
  </si>
  <si>
    <t>43.2</t>
  </si>
  <si>
    <t>12,1675</t>
  </si>
  <si>
    <t>43.3</t>
  </si>
  <si>
    <t>9,53932</t>
  </si>
  <si>
    <t>43.4</t>
  </si>
  <si>
    <t>1,36276</t>
  </si>
  <si>
    <t>43.5</t>
  </si>
  <si>
    <t>1,16808</t>
  </si>
  <si>
    <t>43.6</t>
  </si>
  <si>
    <t>13,6276</t>
  </si>
  <si>
    <t>43.7</t>
  </si>
  <si>
    <t>1,26542</t>
  </si>
  <si>
    <t>43.8</t>
  </si>
  <si>
    <t>8,37124</t>
  </si>
  <si>
    <t>43.9</t>
  </si>
  <si>
    <t>20,4414</t>
  </si>
  <si>
    <t>43.10</t>
  </si>
  <si>
    <t>25,3084</t>
  </si>
  <si>
    <t>43.11</t>
  </si>
  <si>
    <t>0,068138</t>
  </si>
  <si>
    <t>43.12</t>
  </si>
  <si>
    <t>4,867</t>
  </si>
  <si>
    <t>43.13</t>
  </si>
  <si>
    <t>17,5212</t>
  </si>
  <si>
    <t>44</t>
  </si>
  <si>
    <t>0,72624</t>
  </si>
  <si>
    <t>45</t>
  </si>
  <si>
    <t>С124-25-1</t>
  </si>
  <si>
    <t>ГОРЯЧЕКАТАННАЯ АРМАТУРНАЯ СТАЛЬ ПЕРИОДИЧЕСКОГО ПРОФИЛЯ КЛАССА А-III ДИАМЕТРОМ 20 ММ</t>
  </si>
  <si>
    <t>4,2228</t>
  </si>
  <si>
    <t>46</t>
  </si>
  <si>
    <t>1,0251</t>
  </si>
  <si>
    <t>47</t>
  </si>
  <si>
    <t>С124-2</t>
  </si>
  <si>
    <t>ГОРЯЧЕКАТАНАЯ АРМАТУРНАЯ СТАЛЬ ГЛАДКАЯ КЛАССА А-I ДИАМЕТРОМ 8 ММ</t>
  </si>
  <si>
    <t>3,78624</t>
  </si>
  <si>
    <t>СТЛИСТ20</t>
  </si>
  <si>
    <t>СТАЛЬ ЛИСТОВАЯ ТОЛЩ.20ММ</t>
  </si>
  <si>
    <t>0,165</t>
  </si>
  <si>
    <t>РИГЕЛЬ МОНОЛИТНЫЙ РМ1/-РМ5/ НА ОТМ. 0.000 (ЛИСТ 25)</t>
  </si>
  <si>
    <t>49</t>
  </si>
  <si>
    <t>E6-1-37-1</t>
  </si>
  <si>
    <t>УСТРОЙСТВО РИГЕЛЕЙ ГРАЖДАНСКИХ ЗДАНИЙ</t>
  </si>
  <si>
    <t>0,3826</t>
  </si>
  <si>
    <t>49.1</t>
  </si>
  <si>
    <t>1491,07</t>
  </si>
  <si>
    <t>570,483382</t>
  </si>
  <si>
    <t>49.2</t>
  </si>
  <si>
    <t>464,77</t>
  </si>
  <si>
    <t>177,821002</t>
  </si>
  <si>
    <t>49.3</t>
  </si>
  <si>
    <t>74,02</t>
  </si>
  <si>
    <t>28,320052</t>
  </si>
  <si>
    <t>49.4</t>
  </si>
  <si>
    <t>459,34</t>
  </si>
  <si>
    <t>175,743484</t>
  </si>
  <si>
    <t>49.5</t>
  </si>
  <si>
    <t>2,17</t>
  </si>
  <si>
    <t>0,830242</t>
  </si>
  <si>
    <t>49.6</t>
  </si>
  <si>
    <t>3,26</t>
  </si>
  <si>
    <t>1,247276</t>
  </si>
  <si>
    <t>49.7</t>
  </si>
  <si>
    <t>38,8339</t>
  </si>
  <si>
    <t>49.8</t>
  </si>
  <si>
    <t>0,062</t>
  </si>
  <si>
    <t>0,0237212</t>
  </si>
  <si>
    <t>49.9</t>
  </si>
  <si>
    <t>032201</t>
  </si>
  <si>
    <t>МАСЛА АНТРАЦЕНОВЫЕ</t>
  </si>
  <si>
    <t>0,158</t>
  </si>
  <si>
    <t>0,0604508</t>
  </si>
  <si>
    <t>49.10</t>
  </si>
  <si>
    <t>032543</t>
  </si>
  <si>
    <t>ПРОВОЛОКА СВЕТЛАЯ ДИАМЕТРОМ 1,1 ММ</t>
  </si>
  <si>
    <t>0,03</t>
  </si>
  <si>
    <t>0,011478</t>
  </si>
  <si>
    <t>49.11</t>
  </si>
  <si>
    <t>036056</t>
  </si>
  <si>
    <t>ПИЛОМАТЕРИАЛЫ ХВОЙНЫХ ПОРОД. ДОСКИ ОБРЕЗНЫЕ ДЛИНОЙ 4-6,5 М, ШИРИНОЙ 75-150 ММ, ТОЛЩИНОЙ 32-40 ММ II СОРТА</t>
  </si>
  <si>
    <t>0,7652</t>
  </si>
  <si>
    <t>50</t>
  </si>
  <si>
    <t>10,19346</t>
  </si>
  <si>
    <t>50.1</t>
  </si>
  <si>
    <t>804,0601248</t>
  </si>
  <si>
    <t>50.2</t>
  </si>
  <si>
    <t>12,741825</t>
  </si>
  <si>
    <t>50.3</t>
  </si>
  <si>
    <t>9,9895908</t>
  </si>
  <si>
    <t>50.4</t>
  </si>
  <si>
    <t>1,4270844</t>
  </si>
  <si>
    <t>50.5</t>
  </si>
  <si>
    <t>1,2232152</t>
  </si>
  <si>
    <t>50.6</t>
  </si>
  <si>
    <t>14,270844</t>
  </si>
  <si>
    <t>50.7</t>
  </si>
  <si>
    <t>1,3251498</t>
  </si>
  <si>
    <t>50.8</t>
  </si>
  <si>
    <t>8,7663756</t>
  </si>
  <si>
    <t>50.9</t>
  </si>
  <si>
    <t>21,406266</t>
  </si>
  <si>
    <t>50.10</t>
  </si>
  <si>
    <t>26,502996</t>
  </si>
  <si>
    <t>50.11</t>
  </si>
  <si>
    <t>0,07135422</t>
  </si>
  <si>
    <t>50.12</t>
  </si>
  <si>
    <t>5,09673</t>
  </si>
  <si>
    <t>50.13</t>
  </si>
  <si>
    <t>18,348228</t>
  </si>
  <si>
    <t>51</t>
  </si>
  <si>
    <t>2,01362</t>
  </si>
  <si>
    <t>52</t>
  </si>
  <si>
    <t>ГОРЯЧЕКАТАНАЯ АРМАТУРНАЯ СТАЛЬ ПЕРИОДИЧЕСКОГО ПРОФИЛЯ КЛАССА А-III ДИАМЕТРОМ 22 ММ</t>
  </si>
  <si>
    <t>3,46639</t>
  </si>
  <si>
    <t>53</t>
  </si>
  <si>
    <t>ГОРЯЧЕКАТАНАЯ АРМАТУРНАЯ СТАЛЬ ПЕРИОДИЧЕСКОГО ПРОФИЛЯ КЛАССА А-III ДИАМЕТРОМ 16 ММ</t>
  </si>
  <si>
    <t>0,49776</t>
  </si>
  <si>
    <t>54</t>
  </si>
  <si>
    <t>4,29245</t>
  </si>
  <si>
    <t>55</t>
  </si>
  <si>
    <t>0,12462</t>
  </si>
  <si>
    <t>БАЛКА МОНОЛИТНАЯ БМ1,БМ2</t>
  </si>
  <si>
    <t>56</t>
  </si>
  <si>
    <t>E6-1-34-3</t>
  </si>
  <si>
    <t>УСТРОЙСТВО БАЛОК ДЛЯ ПЕРЕКРЫТИЙ, ПОДКРАНОВЫХ И ОБВЯЗОЧНЫХ НА ВЫСОТЕ ОТ ОПОРНОЙ ПЛОЩАДКИ ДО 6 М ПРИ ВЫ СОТЕ БАЛОК ДО 800 ММ</t>
  </si>
  <si>
    <t>56.1</t>
  </si>
  <si>
    <t>1439,6</t>
  </si>
  <si>
    <t>10,0772</t>
  </si>
  <si>
    <t>56.2</t>
  </si>
  <si>
    <t>78,85</t>
  </si>
  <si>
    <t>0,55195</t>
  </si>
  <si>
    <t>56.3</t>
  </si>
  <si>
    <t>0,00189</t>
  </si>
  <si>
    <t>56.4</t>
  </si>
  <si>
    <t>71,4</t>
  </si>
  <si>
    <t>0,4998</t>
  </si>
  <si>
    <t>56.5</t>
  </si>
  <si>
    <t>75,09</t>
  </si>
  <si>
    <t>0,52563</t>
  </si>
  <si>
    <t>56.6</t>
  </si>
  <si>
    <t>0,0098</t>
  </si>
  <si>
    <t>56.7</t>
  </si>
  <si>
    <t>4,86</t>
  </si>
  <si>
    <t>0,03402</t>
  </si>
  <si>
    <t>56.8</t>
  </si>
  <si>
    <t>258,23</t>
  </si>
  <si>
    <t>1,80761</t>
  </si>
  <si>
    <t>56.9</t>
  </si>
  <si>
    <t>2,09</t>
  </si>
  <si>
    <t>0,01463</t>
  </si>
  <si>
    <t>56.10</t>
  </si>
  <si>
    <t>0,171</t>
  </si>
  <si>
    <t>0,001197</t>
  </si>
  <si>
    <t>56.11</t>
  </si>
  <si>
    <t>0,7105</t>
  </si>
  <si>
    <t>56.12</t>
  </si>
  <si>
    <t>0,000315</t>
  </si>
  <si>
    <t>56.13</t>
  </si>
  <si>
    <t>0,057</t>
  </si>
  <si>
    <t>0,000399</t>
  </si>
  <si>
    <t>56.14</t>
  </si>
  <si>
    <t>0,012</t>
  </si>
  <si>
    <t>0,000084</t>
  </si>
  <si>
    <t>56.15</t>
  </si>
  <si>
    <t>0,31</t>
  </si>
  <si>
    <t>0,00217</t>
  </si>
  <si>
    <t>56.16</t>
  </si>
  <si>
    <t>036008</t>
  </si>
  <si>
    <t>ЛЕСОМАТЕРИАЛЫ КРУГЛЫЕ ХВОЙНЫХ ПОРОД. ЛЕСОМАТЕРИАЛЫ ДЛЯ СТРОИТЕЛЬСТВА ДЛИНОЙ 3-6,5 М, ДИАМЕТРОМ 14-24 СМ</t>
  </si>
  <si>
    <t>0,00091</t>
  </si>
  <si>
    <t>56.17</t>
  </si>
  <si>
    <t>6,46</t>
  </si>
  <si>
    <t>0,04522</t>
  </si>
  <si>
    <t>56.18</t>
  </si>
  <si>
    <t>036032</t>
  </si>
  <si>
    <t>ПИЛОМАТЕРИАЛЫ ХВОЙНЫХ ПОРОД. БРУСЬЯ ОБРЕЗНЫЕ ДЛИНОЙ 4-6,5 М, ШИРИНОЙ 75-150 ММ, ТОЛЩИНОЙ 150 ММ И БОЛЕЕ II СОРТА</t>
  </si>
  <si>
    <t>0,00714</t>
  </si>
  <si>
    <t>56.19</t>
  </si>
  <si>
    <t>036053</t>
  </si>
  <si>
    <t>ПИЛОМАТЕРИАЛЫ ХВОЙНЫХ ПОРОД. ДОСКИ ОБРЕЗНЫЕ ДЛИНОЙ 4-6,5 М, ШИРИНОЙ 75-150 ММ, ТОЛЩИНОЙ 25 ММ III СОРТА</t>
  </si>
  <si>
    <t>0,00098</t>
  </si>
  <si>
    <t>56.20</t>
  </si>
  <si>
    <t>0,014</t>
  </si>
  <si>
    <t>56.21</t>
  </si>
  <si>
    <t>141</t>
  </si>
  <si>
    <t>0,987</t>
  </si>
  <si>
    <t>57</t>
  </si>
  <si>
    <t>0,4911</t>
  </si>
  <si>
    <t>57.1</t>
  </si>
  <si>
    <t>38,737968</t>
  </si>
  <si>
    <t>57.2</t>
  </si>
  <si>
    <t>0,613875</t>
  </si>
  <si>
    <t>57.3</t>
  </si>
  <si>
    <t>0,481278</t>
  </si>
  <si>
    <t>57.4</t>
  </si>
  <si>
    <t>0,068754</t>
  </si>
  <si>
    <t>57.5</t>
  </si>
  <si>
    <t>0,058932</t>
  </si>
  <si>
    <t>57.6</t>
  </si>
  <si>
    <t>0,68754</t>
  </si>
  <si>
    <t>57.7</t>
  </si>
  <si>
    <t>0,063843</t>
  </si>
  <si>
    <t>57.8</t>
  </si>
  <si>
    <t>0,422346</t>
  </si>
  <si>
    <t>57.9</t>
  </si>
  <si>
    <t>1,03131</t>
  </si>
  <si>
    <t>57.10</t>
  </si>
  <si>
    <t>1,27686</t>
  </si>
  <si>
    <t>57.11</t>
  </si>
  <si>
    <t>0,0034377</t>
  </si>
  <si>
    <t>57.12</t>
  </si>
  <si>
    <t>0,24555</t>
  </si>
  <si>
    <t>57.13</t>
  </si>
  <si>
    <t>0,88398</t>
  </si>
  <si>
    <t>58</t>
  </si>
  <si>
    <t>0,10659</t>
  </si>
  <si>
    <t>59</t>
  </si>
  <si>
    <t>0,16973</t>
  </si>
  <si>
    <t>60</t>
  </si>
  <si>
    <t>0,06059</t>
  </si>
  <si>
    <t>61</t>
  </si>
  <si>
    <t>0,1608</t>
  </si>
  <si>
    <t>РИГЕЛЬ МОНОЛИТНЫЙ РМ1-РМ3 НА ОТМ. +3.900 (ЛИСТ 26)</t>
  </si>
  <si>
    <t>62</t>
  </si>
  <si>
    <t>0,281</t>
  </si>
  <si>
    <t>62.1</t>
  </si>
  <si>
    <t>418,99067</t>
  </si>
  <si>
    <t>62.2</t>
  </si>
  <si>
    <t>130,60037</t>
  </si>
  <si>
    <t>62.3</t>
  </si>
  <si>
    <t>20,79962</t>
  </si>
  <si>
    <t>62.4</t>
  </si>
  <si>
    <t>129,07454</t>
  </si>
  <si>
    <t>62.5</t>
  </si>
  <si>
    <t>0,60977</t>
  </si>
  <si>
    <t>62.6</t>
  </si>
  <si>
    <t>0,91606</t>
  </si>
  <si>
    <t>62.7</t>
  </si>
  <si>
    <t>28,5215</t>
  </si>
  <si>
    <t>62.8</t>
  </si>
  <si>
    <t>0,017422</t>
  </si>
  <si>
    <t>62.9</t>
  </si>
  <si>
    <t>0,044398</t>
  </si>
  <si>
    <t>62.10</t>
  </si>
  <si>
    <t>0,00843</t>
  </si>
  <si>
    <t>62.11</t>
  </si>
  <si>
    <t>0,562</t>
  </si>
  <si>
    <t>63</t>
  </si>
  <si>
    <t>5,05596</t>
  </si>
  <si>
    <t>63.1</t>
  </si>
  <si>
    <t>398,8141248</t>
  </si>
  <si>
    <t>63.2</t>
  </si>
  <si>
    <t>6,31995</t>
  </si>
  <si>
    <t>63.3</t>
  </si>
  <si>
    <t>4,9548408</t>
  </si>
  <si>
    <t>63.4</t>
  </si>
  <si>
    <t>0,7078344</t>
  </si>
  <si>
    <t>63.5</t>
  </si>
  <si>
    <t>0,6067152</t>
  </si>
  <si>
    <t>63.6</t>
  </si>
  <si>
    <t>7,078344</t>
  </si>
  <si>
    <t>63.7</t>
  </si>
  <si>
    <t>0,6572748</t>
  </si>
  <si>
    <t>63.8</t>
  </si>
  <si>
    <t>4,3481256</t>
  </si>
  <si>
    <t>63.9</t>
  </si>
  <si>
    <t>10,617516</t>
  </si>
  <si>
    <t>63.10</t>
  </si>
  <si>
    <t>13,145496</t>
  </si>
  <si>
    <t>63.11</t>
  </si>
  <si>
    <t>0,03539172</t>
  </si>
  <si>
    <t>63.12</t>
  </si>
  <si>
    <t>2,52798</t>
  </si>
  <si>
    <t>63.13</t>
  </si>
  <si>
    <t>9,100728</t>
  </si>
  <si>
    <t>64</t>
  </si>
  <si>
    <t>0,99719</t>
  </si>
  <si>
    <t>65</t>
  </si>
  <si>
    <t>1,95871</t>
  </si>
  <si>
    <t>66</t>
  </si>
  <si>
    <t>ГОРЯЧЕКАТАНАЯ АРМАТУРНАЯ СТАЛЬ ПЕРИОДИЧЕСКОГО ПРОФИЛЯ КЛАССА А-III ДИАМЕТРОМ 20 ММ</t>
  </si>
  <si>
    <t>0,18274</t>
  </si>
  <si>
    <t>67</t>
  </si>
  <si>
    <t>0,3702</t>
  </si>
  <si>
    <t>68</t>
  </si>
  <si>
    <t>1,58263</t>
  </si>
  <si>
    <t>69</t>
  </si>
  <si>
    <t>0,06432</t>
  </si>
  <si>
    <t>70</t>
  </si>
  <si>
    <t>70.1</t>
  </si>
  <si>
    <t>70.2</t>
  </si>
  <si>
    <t>70.3</t>
  </si>
  <si>
    <t>70.4</t>
  </si>
  <si>
    <t>70.5</t>
  </si>
  <si>
    <t>70.6</t>
  </si>
  <si>
    <t>70.7</t>
  </si>
  <si>
    <t>70.8</t>
  </si>
  <si>
    <t>70.9</t>
  </si>
  <si>
    <t>70.10</t>
  </si>
  <si>
    <t>70.11</t>
  </si>
  <si>
    <t>70.12</t>
  </si>
  <si>
    <t>70.13</t>
  </si>
  <si>
    <t>70.14</t>
  </si>
  <si>
    <t>70.15</t>
  </si>
  <si>
    <t>70.16</t>
  </si>
  <si>
    <t>70.17</t>
  </si>
  <si>
    <t>70.18</t>
  </si>
  <si>
    <t>70.19</t>
  </si>
  <si>
    <t>70.20</t>
  </si>
  <si>
    <t>70.21</t>
  </si>
  <si>
    <t>71</t>
  </si>
  <si>
    <t>71.1</t>
  </si>
  <si>
    <t>71.2</t>
  </si>
  <si>
    <t>71.3</t>
  </si>
  <si>
    <t>71.4</t>
  </si>
  <si>
    <t>71.5</t>
  </si>
  <si>
    <t>71.6</t>
  </si>
  <si>
    <t>71.7</t>
  </si>
  <si>
    <t>71.8</t>
  </si>
  <si>
    <t>71.9</t>
  </si>
  <si>
    <t>71.10</t>
  </si>
  <si>
    <t>71.11</t>
  </si>
  <si>
    <t>71.12</t>
  </si>
  <si>
    <t>71.13</t>
  </si>
  <si>
    <t>72</t>
  </si>
  <si>
    <t>73</t>
  </si>
  <si>
    <t>74</t>
  </si>
  <si>
    <t>ПЛИТЫ ПЕРЕКРЫТИЯ НА ОТМ. +0.000 (ЛИСТ 31)</t>
  </si>
  <si>
    <t>76</t>
  </si>
  <si>
    <t>E7-5-11-6</t>
  </si>
  <si>
    <t>УСТАНОВКА ПАНЕЛЕЙ ПЕРЕКРЫТИЙ С ОПИРАНИЕМ НА 2 СТОРОНЫ ПЛОЩАДЬЮ ДО 10 М2</t>
  </si>
  <si>
    <t>100ШТ</t>
  </si>
  <si>
    <t>0,44</t>
  </si>
  <si>
    <t>76.1</t>
  </si>
  <si>
    <t>266</t>
  </si>
  <si>
    <t>117,04</t>
  </si>
  <si>
    <t>76.2</t>
  </si>
  <si>
    <t>47,63</t>
  </si>
  <si>
    <t>20,9572</t>
  </si>
  <si>
    <t>76.3</t>
  </si>
  <si>
    <t>45,41</t>
  </si>
  <si>
    <t>19,9804</t>
  </si>
  <si>
    <t>76.4</t>
  </si>
  <si>
    <t>28,12</t>
  </si>
  <si>
    <t>12,3728</t>
  </si>
  <si>
    <t>76.5</t>
  </si>
  <si>
    <t>2,22</t>
  </si>
  <si>
    <t>0,9768</t>
  </si>
  <si>
    <t>76.6</t>
  </si>
  <si>
    <t>012226</t>
  </si>
  <si>
    <t>РАСТВОР ГОТОВЫЙ КЛАДОЧНЫЙ ЦЕМЕНТНЫЙ, МАРКА 100</t>
  </si>
  <si>
    <t>6,53</t>
  </si>
  <si>
    <t>2,8732</t>
  </si>
  <si>
    <t>76.7</t>
  </si>
  <si>
    <t>035326</t>
  </si>
  <si>
    <t>ЭЛЕКТРОДЫ ДИАМЕТРОМ 6 ММ Э42</t>
  </si>
  <si>
    <t>0,022</t>
  </si>
  <si>
    <t>77</t>
  </si>
  <si>
    <t>2ПК5910</t>
  </si>
  <si>
    <t>2ПК59.10-8А400-С9</t>
  </si>
  <si>
    <t>78</t>
  </si>
  <si>
    <t>2ПК5912</t>
  </si>
  <si>
    <t>2ПК59.12-8А400-С9</t>
  </si>
  <si>
    <t>79</t>
  </si>
  <si>
    <t>2ПК6310</t>
  </si>
  <si>
    <t>2ПК63.10-8А400-С9</t>
  </si>
  <si>
    <t>80</t>
  </si>
  <si>
    <t>2ПК6312</t>
  </si>
  <si>
    <t>2ПК63.12-8А400-С9</t>
  </si>
  <si>
    <t>81</t>
  </si>
  <si>
    <t>E7-5-11-5</t>
  </si>
  <si>
    <t>УСТАНОВКА ПАНЕЛЕЙ ПЕРЕКРЫТИЙ С ОПИРАНИЕМ НА 2 СТОРОНЫ ПЛОЩАДЬЮ ДО 5 М2</t>
  </si>
  <si>
    <t>81.1</t>
  </si>
  <si>
    <t>174</t>
  </si>
  <si>
    <t>5,22</t>
  </si>
  <si>
    <t>81.2</t>
  </si>
  <si>
    <t>26,91</t>
  </si>
  <si>
    <t>0,8073</t>
  </si>
  <si>
    <t>81.3</t>
  </si>
  <si>
    <t>26,11</t>
  </si>
  <si>
    <t>0,7833</t>
  </si>
  <si>
    <t>81.4</t>
  </si>
  <si>
    <t>15,17</t>
  </si>
  <si>
    <t>0,4551</t>
  </si>
  <si>
    <t>81.5</t>
  </si>
  <si>
    <t>0,8</t>
  </si>
  <si>
    <t>0,024</t>
  </si>
  <si>
    <t>81.6</t>
  </si>
  <si>
    <t>4,28</t>
  </si>
  <si>
    <t>0,1284</t>
  </si>
  <si>
    <t>81.7</t>
  </si>
  <si>
    <t>0,0009</t>
  </si>
  <si>
    <t>82</t>
  </si>
  <si>
    <t>2ПК3910</t>
  </si>
  <si>
    <t>2ПК39.10-8А400-С9</t>
  </si>
  <si>
    <t>ПЛИТЫ ПЕРЕКРЫТИЯ НА ОТМ. +3.900 (ЛИСТ 32)</t>
  </si>
  <si>
    <t>83</t>
  </si>
  <si>
    <t>0,47</t>
  </si>
  <si>
    <t>83.1</t>
  </si>
  <si>
    <t>125,02</t>
  </si>
  <si>
    <t>83.2</t>
  </si>
  <si>
    <t>22,3861</t>
  </si>
  <si>
    <t>83.3</t>
  </si>
  <si>
    <t>21,3427</t>
  </si>
  <si>
    <t>83.4</t>
  </si>
  <si>
    <t>13,2164</t>
  </si>
  <si>
    <t>83.5</t>
  </si>
  <si>
    <t>1,0434</t>
  </si>
  <si>
    <t>83.6</t>
  </si>
  <si>
    <t>3,0691</t>
  </si>
  <si>
    <t>83.7</t>
  </si>
  <si>
    <t>0,0235</t>
  </si>
  <si>
    <t>84</t>
  </si>
  <si>
    <t>85</t>
  </si>
  <si>
    <t>86</t>
  </si>
  <si>
    <t>87</t>
  </si>
  <si>
    <t>88</t>
  </si>
  <si>
    <t>88.1</t>
  </si>
  <si>
    <t>88.2</t>
  </si>
  <si>
    <t>88.3</t>
  </si>
  <si>
    <t>88.4</t>
  </si>
  <si>
    <t>88.5</t>
  </si>
  <si>
    <t>88.6</t>
  </si>
  <si>
    <t>88.7</t>
  </si>
  <si>
    <t>89</t>
  </si>
  <si>
    <t>ДИАФРАГМА Д2 (ЛИСТ 48)</t>
  </si>
  <si>
    <t>90</t>
  </si>
  <si>
    <t>E6-1-31-5</t>
  </si>
  <si>
    <t>УСТРОЙСТВО ЖЕЛЕЗОБЕТОННЫХ СТЕН И ПЕРЕГОРОДОК ВЫСОТОЙ ДО 3 М, ТОЛЩИНОЙ ДО 500 ММ</t>
  </si>
  <si>
    <t>0,74109</t>
  </si>
  <si>
    <t>90.1</t>
  </si>
  <si>
    <t>852,04</t>
  </si>
  <si>
    <t>631,4383236</t>
  </si>
  <si>
    <t>90.2</t>
  </si>
  <si>
    <t>56,16</t>
  </si>
  <si>
    <t>41,6196144</t>
  </si>
  <si>
    <t>90.3</t>
  </si>
  <si>
    <t>0,2000943</t>
  </si>
  <si>
    <t>90.4</t>
  </si>
  <si>
    <t>42,6</t>
  </si>
  <si>
    <t>31,570434</t>
  </si>
  <si>
    <t>90.5</t>
  </si>
  <si>
    <t>54,1</t>
  </si>
  <si>
    <t>40,092969</t>
  </si>
  <si>
    <t>90.6</t>
  </si>
  <si>
    <t>0,71</t>
  </si>
  <si>
    <t>0,5261739</t>
  </si>
  <si>
    <t>90.7</t>
  </si>
  <si>
    <t>1,31</t>
  </si>
  <si>
    <t>0,9708279</t>
  </si>
  <si>
    <t>90.8</t>
  </si>
  <si>
    <t>166,6</t>
  </si>
  <si>
    <t>123,465594</t>
  </si>
  <si>
    <t>90.9</t>
  </si>
  <si>
    <t>1,08</t>
  </si>
  <si>
    <t>0,8003772</t>
  </si>
  <si>
    <t>90.10</t>
  </si>
  <si>
    <t>0,124</t>
  </si>
  <si>
    <t>0,09189516</t>
  </si>
  <si>
    <t>90.11</t>
  </si>
  <si>
    <t>75,220635</t>
  </si>
  <si>
    <t>90.12</t>
  </si>
  <si>
    <t>0,09</t>
  </si>
  <si>
    <t>0,0666981</t>
  </si>
  <si>
    <t>90.13</t>
  </si>
  <si>
    <t>0,03779559</t>
  </si>
  <si>
    <t>90.14</t>
  </si>
  <si>
    <t>0,041</t>
  </si>
  <si>
    <t>0,03038469</t>
  </si>
  <si>
    <t>90.15</t>
  </si>
  <si>
    <t>0,148218</t>
  </si>
  <si>
    <t>90.16</t>
  </si>
  <si>
    <t>0,1037526</t>
  </si>
  <si>
    <t>90.17</t>
  </si>
  <si>
    <t>1,55</t>
  </si>
  <si>
    <t>1,1486895</t>
  </si>
  <si>
    <t>90.18</t>
  </si>
  <si>
    <t>54,84066</t>
  </si>
  <si>
    <t>91</t>
  </si>
  <si>
    <t>E8-3-7-1 ШHК.ДОП.12</t>
  </si>
  <si>
    <t>КЛАДКА СТЕН ИЗ ГАЗОБЕТОННЫХ БЛОКОВ НА КЛЕЕ БЕЗ ОБЛИЦОВКИ ТОЛЩИНОЙ ДО 400 ММ ПРИ ВЫСОТЕ ЭТАЖА ДО 4 М</t>
  </si>
  <si>
    <t>91,05</t>
  </si>
  <si>
    <t>91.1</t>
  </si>
  <si>
    <t>3,65</t>
  </si>
  <si>
    <t>332,3325</t>
  </si>
  <si>
    <t>91.2</t>
  </si>
  <si>
    <t>11,8365</t>
  </si>
  <si>
    <t>91.3</t>
  </si>
  <si>
    <t>000521</t>
  </si>
  <si>
    <t>ДРЕЛИ ЭЛЕКТРИЧЕСКИЕ</t>
  </si>
  <si>
    <t>18,21</t>
  </si>
  <si>
    <t>91.4</t>
  </si>
  <si>
    <t>7,284</t>
  </si>
  <si>
    <t>91.5</t>
  </si>
  <si>
    <t>002499</t>
  </si>
  <si>
    <t>4,5525</t>
  </si>
  <si>
    <t>91.6</t>
  </si>
  <si>
    <t>0,004</t>
  </si>
  <si>
    <t>0,3642</t>
  </si>
  <si>
    <t>91.7</t>
  </si>
  <si>
    <t>019412</t>
  </si>
  <si>
    <t>СМЕСЬ РАСТВОРНАЯ СУХАЯ</t>
  </si>
  <si>
    <t>1866,525</t>
  </si>
  <si>
    <t>91.8</t>
  </si>
  <si>
    <t>019416</t>
  </si>
  <si>
    <t>БЛОКИ ИЗ ГАЗОБЕТОНА СТЕНОВЫЕ ТОЛЩИНОЙ 200 ММ</t>
  </si>
  <si>
    <t>1,01</t>
  </si>
  <si>
    <t>91,9605</t>
  </si>
  <si>
    <t>92</t>
  </si>
  <si>
    <t>E8-4-3-3 ШHК.ДОП.12</t>
  </si>
  <si>
    <t>КЛАДКА ПЕРЕГОРОДОК ИЗ ГАЗОБЕТОННЫХ БЛОКОВ НА КЛЕЕ ТОЛЩИНОЙ 200 ММ ПРИ ВЫСОТЕ ЭТАЖА ДО 4 М</t>
  </si>
  <si>
    <t>1,8375</t>
  </si>
  <si>
    <t>92.1</t>
  </si>
  <si>
    <t>80,19</t>
  </si>
  <si>
    <t>147,349125</t>
  </si>
  <si>
    <t>92.2</t>
  </si>
  <si>
    <t>2,5</t>
  </si>
  <si>
    <t>4,59375</t>
  </si>
  <si>
    <t>92.3</t>
  </si>
  <si>
    <t>2,52</t>
  </si>
  <si>
    <t>4,6305</t>
  </si>
  <si>
    <t>92.4</t>
  </si>
  <si>
    <t>2,848125</t>
  </si>
  <si>
    <t>92.5</t>
  </si>
  <si>
    <t>0,95</t>
  </si>
  <si>
    <t>1,745625</t>
  </si>
  <si>
    <t>92.6</t>
  </si>
  <si>
    <t>0,0828</t>
  </si>
  <si>
    <t>0,152145</t>
  </si>
  <si>
    <t>92.7</t>
  </si>
  <si>
    <t>409,98</t>
  </si>
  <si>
    <t>753,33825</t>
  </si>
  <si>
    <t>92.8</t>
  </si>
  <si>
    <t>20,2</t>
  </si>
  <si>
    <t>37,1175</t>
  </si>
  <si>
    <t>93</t>
  </si>
  <si>
    <t>93.1</t>
  </si>
  <si>
    <t>2,92</t>
  </si>
  <si>
    <t>93.2</t>
  </si>
  <si>
    <t>0,104</t>
  </si>
  <si>
    <t>93.3</t>
  </si>
  <si>
    <t>0,16</t>
  </si>
  <si>
    <t>93.4</t>
  </si>
  <si>
    <t>0,064</t>
  </si>
  <si>
    <t>93.5</t>
  </si>
  <si>
    <t>93.6</t>
  </si>
  <si>
    <t>0,0032</t>
  </si>
  <si>
    <t>93.7</t>
  </si>
  <si>
    <t>16,4</t>
  </si>
  <si>
    <t>93.8</t>
  </si>
  <si>
    <t>019418</t>
  </si>
  <si>
    <t>БЛОКИ ИЗ ГАЗОБЕТОНА СТЕНОВЫЕ ТОЛЩИНОЙ 400 ММ</t>
  </si>
  <si>
    <t>0,808</t>
  </si>
  <si>
    <t>94</t>
  </si>
  <si>
    <t>E8-2-1-7</t>
  </si>
  <si>
    <t>КЛАДКА СТЕН КИРПИЧНЫХ ВНУТРЕННИХ ПРИ ВЫСОТЕ ЭТАЖА ДО 4 М</t>
  </si>
  <si>
    <t>2,3</t>
  </si>
  <si>
    <t>94.1</t>
  </si>
  <si>
    <t>5,21</t>
  </si>
  <si>
    <t>11,983</t>
  </si>
  <si>
    <t>94.2</t>
  </si>
  <si>
    <t>0,4</t>
  </si>
  <si>
    <t>0,92</t>
  </si>
  <si>
    <t>94.3</t>
  </si>
  <si>
    <t>94.4</t>
  </si>
  <si>
    <t>1,012</t>
  </si>
  <si>
    <t>94.5</t>
  </si>
  <si>
    <t>010411</t>
  </si>
  <si>
    <t>КИРПИЧ КЕРАМИЧЕСКИЙ, СИЛИКАТНЫЙ ИЛИ ПУСТОТЕЛЫЙ РАЗМЕР И МАРКА ПО ПРОЕКТУ</t>
  </si>
  <si>
    <t>1000ШТ</t>
  </si>
  <si>
    <t>0,395</t>
  </si>
  <si>
    <t>0,9085</t>
  </si>
  <si>
    <t>94.6</t>
  </si>
  <si>
    <t>012102</t>
  </si>
  <si>
    <t>РАСТВОР ГОТОВЫЙ КЛАДОЧНЫЙ ТЯЖЕЛЫЙ ЦЕМЕНТНЫЙ, МАРКА: 50</t>
  </si>
  <si>
    <t>0,234</t>
  </si>
  <si>
    <t>0,5382</t>
  </si>
  <si>
    <t>94.7</t>
  </si>
  <si>
    <t>036026</t>
  </si>
  <si>
    <t>ПИЛОМАТЕРИАЛЫ ХВОЙНЫХ ПОРОД. БРУСКИ ОБРЕЗНЫЕ ДЛИНОЙ 4-6,5 М, ШИРИНОЙ 75-150 ММ, ТОЛЩИНОЙ 40-75 ММ IV СОРТА</t>
  </si>
  <si>
    <t>0,0005</t>
  </si>
  <si>
    <t>0,00115</t>
  </si>
  <si>
    <t>95</t>
  </si>
  <si>
    <t>E8-2-1-1</t>
  </si>
  <si>
    <t>КЛАДКА СТЕН КИРПИЧНЫХ НАРУЖНЫХ ПРОСТЫХ ПРИ ВЫСОТЕ ЭТАЖА ДО 4 М</t>
  </si>
  <si>
    <t>18,65</t>
  </si>
  <si>
    <t>95.1</t>
  </si>
  <si>
    <t>5,4</t>
  </si>
  <si>
    <t>100,71</t>
  </si>
  <si>
    <t>95.2</t>
  </si>
  <si>
    <t>7,46</t>
  </si>
  <si>
    <t>95.3</t>
  </si>
  <si>
    <t>95.4</t>
  </si>
  <si>
    <t>8,206</t>
  </si>
  <si>
    <t>95.5</t>
  </si>
  <si>
    <t>0,394</t>
  </si>
  <si>
    <t>7,3481</t>
  </si>
  <si>
    <t>95.6</t>
  </si>
  <si>
    <t>0,24</t>
  </si>
  <si>
    <t>4,476</t>
  </si>
  <si>
    <t>95.7</t>
  </si>
  <si>
    <t>0,009325</t>
  </si>
  <si>
    <t>96</t>
  </si>
  <si>
    <t>E26-1-41-5</t>
  </si>
  <si>
    <t>ИЗОЛЯЦИЯ ИЗДЕЛИЯМИ ИЗ МИНЕРАЛЬНОЙ ВАТЫ ПОКРЫТИЙ И ПЕРЕКРЫТИЙ</t>
  </si>
  <si>
    <t>1 М3</t>
  </si>
  <si>
    <t>10,5</t>
  </si>
  <si>
    <t>96.1</t>
  </si>
  <si>
    <t>9,47</t>
  </si>
  <si>
    <t>99,435</t>
  </si>
  <si>
    <t>96.2</t>
  </si>
  <si>
    <t>3,255</t>
  </si>
  <si>
    <t>96.3</t>
  </si>
  <si>
    <t>000977</t>
  </si>
  <si>
    <t>ЛЕБЕДКИ ЭЛЕКТРИЧЕСКИЕ, ТЯГОВЫМ УСИЛИЕМ 19,62 (2) КН (Т)</t>
  </si>
  <si>
    <t>0,45</t>
  </si>
  <si>
    <t>4,725</t>
  </si>
  <si>
    <t>96.4</t>
  </si>
  <si>
    <t>97</t>
  </si>
  <si>
    <t>МИНВАТА30</t>
  </si>
  <si>
    <t>МИНЕРАЛЬНАЯ ВАТА ТОЛЩ.30ММ</t>
  </si>
  <si>
    <t>357</t>
  </si>
  <si>
    <t>Зарплата</t>
  </si>
  <si>
    <t>Эксплуата-ция машин и механизм</t>
  </si>
  <si>
    <t>Строитель-ные материалы и конструкции</t>
  </si>
  <si>
    <t>Трансп. услуги из мат.</t>
  </si>
  <si>
    <t>Кабельно-проводни-ковый продукции</t>
  </si>
  <si>
    <t>Трансп. услуги кабельн. прод.</t>
  </si>
  <si>
    <t>Оборудова ния</t>
  </si>
  <si>
    <t>Трансп. услуги обор.</t>
  </si>
  <si>
    <t>Всего прямых  затрат</t>
  </si>
  <si>
    <t>Прочие затраты подрядчикa</t>
  </si>
  <si>
    <t>Затраты на страхов. объекта</t>
  </si>
  <si>
    <t>Всего стоимость без НДС</t>
  </si>
  <si>
    <t>Всего с НДС      12 %</t>
  </si>
  <si>
    <t>row_index</t>
  </si>
  <si>
    <t>local_name_raw</t>
  </si>
  <si>
    <t>local_unit_raw</t>
  </si>
  <si>
    <t>status</t>
  </si>
  <si>
    <t>picked_unit</t>
  </si>
  <si>
    <t>picked_name</t>
  </si>
  <si>
    <t>best_score</t>
  </si>
  <si>
    <t>second_name</t>
  </si>
  <si>
    <t>second_score</t>
  </si>
  <si>
    <t>written</t>
  </si>
  <si>
    <t>note</t>
  </si>
  <si>
    <t>WORK_HEADER</t>
  </si>
  <si>
    <t>иш сарлавҳаси: остидаги ресурслар нархланади</t>
  </si>
  <si>
    <t>EXACT</t>
  </si>
  <si>
    <t>челч</t>
  </si>
  <si>
    <t>затраты труда рабочих-строителей</t>
  </si>
  <si>
    <t>MACHINIST</t>
  </si>
  <si>
    <t>машинист меҳнати машина нархи ичида</t>
  </si>
  <si>
    <t>машч</t>
  </si>
  <si>
    <t>бульдозеры при работе на других видах строительства (кроме водохозяйственного) 79 (108) квт (л.с.)</t>
  </si>
  <si>
    <t>экскаваторы на гусеничном ходу типа "atlas", "volvo", "komatsu", "hitachi", "liebher", hyundai robex с емкостью ковша 1,0 м3</t>
  </si>
  <si>
    <t>автомобили-самосвалы грузоподъемностью до 10 т</t>
  </si>
  <si>
    <t>м3</t>
  </si>
  <si>
    <t>грунт суглинистый</t>
  </si>
  <si>
    <t>катки дорожные прицепные кулачковые 8 т</t>
  </si>
  <si>
    <t>катки дорожные самоходные гладкие 8 т</t>
  </si>
  <si>
    <t>машины поливомоечные 6000 л</t>
  </si>
  <si>
    <t>скреперы прицепные (с гусеничным трактором) при работе на других видах строительства (кроме водохозяйственного), вместимость ковша 8 м3</t>
  </si>
  <si>
    <t>тракторы на гусеничном ходу при работе на других видах строительства (кроме водохозяйственного) до 59 (80) квт (л.с.)</t>
  </si>
  <si>
    <t>тракторы на гусеничном ходу при работе на других видах строительства (кроме водохозяйственного) 79 (108) квт (л.с.)</t>
  </si>
  <si>
    <t>вода</t>
  </si>
  <si>
    <t>компрессоры передвижные с двигателем внутреннего сгорания давлением до 686 кпа (7 атм.) 5 м3/мин</t>
  </si>
  <si>
    <t>трамбовки пневматические</t>
  </si>
  <si>
    <t>вибраторы глубинные</t>
  </si>
  <si>
    <t>краны башенные при работе на других видах строительства (кроме монтажа технологического оборудования) 8 т</t>
  </si>
  <si>
    <t>автомобили бортовые грузоподъемностью до 5 т</t>
  </si>
  <si>
    <t>бетон тяжелый, класс в 10 (м150)</t>
  </si>
  <si>
    <t>м2</t>
  </si>
  <si>
    <t>рогожа</t>
  </si>
  <si>
    <t>автопогрузчики 5 т</t>
  </si>
  <si>
    <t>краны на автомобильном ходу при работе на других видах строительства (кроме магистральных трубопроводов) 10 т</t>
  </si>
  <si>
    <t>пила электрическая цепная</t>
  </si>
  <si>
    <t>установки для сварки ручной дуговой (постоянного тока)</t>
  </si>
  <si>
    <t>бетон тяжелый, класс в20</t>
  </si>
  <si>
    <t>т</t>
  </si>
  <si>
    <t>гвозди строительные</t>
  </si>
  <si>
    <t>известь строительная негашеная комовая, сорт 1</t>
  </si>
  <si>
    <t>катанка горячекатаная в мотках диаметром 6,3-6,5 мм</t>
  </si>
  <si>
    <t>электроды диаметром 4 мм э42</t>
  </si>
  <si>
    <t>пиломатериалы хвойных пород. доски обрезные длиной 4-6,5 м, шириной 75-150 мм, толщиной 44 мм и более iii сорта</t>
  </si>
  <si>
    <t>щиты из досок толщиной 40 мм</t>
  </si>
  <si>
    <t>пила дисковая электрическая</t>
  </si>
  <si>
    <t>станок для гибки арматуры</t>
  </si>
  <si>
    <t>автомобили бортовые грузоподъемностью до 10 т</t>
  </si>
  <si>
    <t>аппараты для газовой сварки и резки</t>
  </si>
  <si>
    <t>станок для рубки арматуры</t>
  </si>
  <si>
    <t>кислород технический газообразный</t>
  </si>
  <si>
    <t>проволока вязальная</t>
  </si>
  <si>
    <t>шт</t>
  </si>
  <si>
    <t>круг отрезной</t>
  </si>
  <si>
    <t>кг</t>
  </si>
  <si>
    <t>пропан-бутан, смесь техническая</t>
  </si>
  <si>
    <t>горячекатанная арматурная сталь периодического профиля класса а-iii диаметром 14 мм</t>
  </si>
  <si>
    <t>горячекатанная арматурная сталь периодического профиля класса а-iii диаметром 18 мм</t>
  </si>
  <si>
    <t>горячекатанная арматурная сталь периодического профиля класса а-iii диаметром 12 мм</t>
  </si>
  <si>
    <t>горячекатанная арматурная сталь периодического профиля класса а-iii диаметром 10 мм</t>
  </si>
  <si>
    <t>горячекатанная арматурная сталь периодического профиля класса а-iii диаметром 32 мм</t>
  </si>
  <si>
    <t>горячекатанная арматурная сталь периодического профиля класса а-iii диаметром 28 мм</t>
  </si>
  <si>
    <t>AMBIGUOUS</t>
  </si>
  <si>
    <t>горячекатанная арматурная сталь периодического профиля класса а-iii диаметром 20 мм</t>
  </si>
  <si>
    <t>2 та номзод: «горячекатанная арматурная сталь периодического профиля класса а-iii диаметром 20 мм» (4600000) ва «горячекатанная арматурная сталь периодического профиля класса а-iii диаметром 12 мм» (4600000), ўхшашлик 0.988</t>
  </si>
  <si>
    <t>горячекатанная арматурная сталь периодического профиля класса а-iii диаметром 22 мм</t>
  </si>
  <si>
    <t>болты строительные с гайками и шайбами</t>
  </si>
  <si>
    <t>пиломатериалы хвойных пород. бруски обрезные длиной 4-6,5 м, шириной 75-150 мм, толщиной 40-75 мм iii сорта</t>
  </si>
  <si>
    <t>щиты из досок толщиной 25 мм</t>
  </si>
  <si>
    <t>горячекатанная арматурная сталь периодического профиля класса а-iii диаметром 16 мм</t>
  </si>
  <si>
    <t>горячекатаная арматурная сталь гладкая класса а-i диаметром 6 мм</t>
  </si>
  <si>
    <t>компрессоры передвижные с двигателем внутреннего сгорания давлением до 686 кпа (7 атм.) 2,2 м3/мин</t>
  </si>
  <si>
    <t>котлы битумные передвижные 400 л</t>
  </si>
  <si>
    <t>подъемники мачтовые строительные 0,5 т</t>
  </si>
  <si>
    <t>мастика битумная кровельная горячая</t>
  </si>
  <si>
    <t>дрель-перфоратор электрическая</t>
  </si>
  <si>
    <t>сверлильный агрегат hilti dd 200</t>
  </si>
  <si>
    <t>болты анкерные /тип и диаметр по проекту/</t>
  </si>
  <si>
    <t>м</t>
  </si>
  <si>
    <t>стержни металлические с резьбой</t>
  </si>
  <si>
    <t>коронка кольцевая алмазная диаметром 52 мм</t>
  </si>
  <si>
    <t>сверло 12 мм</t>
  </si>
  <si>
    <t>бетон тяжелый, класс в25</t>
  </si>
  <si>
    <t>пиломатериалы хвойных пород. доски необрезные длиной 4-6,5 м, все ширины, толщиной 44 мм и более ii сорта</t>
  </si>
  <si>
    <t>бруски обрезные хвойных пород длиной 2-6,5 м, толщиной 40-60 мм, 2 сорта</t>
  </si>
  <si>
    <t>горячекатаная арматурная сталь гладкая класса а-i диаметром 10 мм</t>
  </si>
  <si>
    <t>горячекатаная арматурная сталь гладкая класса а-i диаметром 8 мм</t>
  </si>
  <si>
    <t>сталь листовая толщ.20мм</t>
  </si>
  <si>
    <t>масла антраценовые</t>
  </si>
  <si>
    <t>проволока светлая диаметром 1,1 мм</t>
  </si>
  <si>
    <t>пиломатериалы хвойных пород. доски обрезные длиной 4-6,5 м, шириной 75-150 мм, толщиной 32-40 мм ii сорта</t>
  </si>
  <si>
    <t>FUZZY</t>
  </si>
  <si>
    <t>таклиф (аниқ эмас): «горячекатанная арматурная сталь периодического профиля класса а-iii диаметром 22 мм» 0.994 — 4600000</t>
  </si>
  <si>
    <t>таклиф (аниқ эмас): «горячекатанная арматурная сталь периодического профиля класса а-iii диаметром 16 мм» 0.994 — 4600000</t>
  </si>
  <si>
    <t>лесоматериалы круглые хвойных пород. лесоматериалы для строительства длиной 3-6,5 м, диаметром 14-24 см</t>
  </si>
  <si>
    <t>пиломатериалы хвойных пород. брусья обрезные длиной 4-6,5 м, шириной 75-150 мм, толщиной 150 мм и более ii сорта</t>
  </si>
  <si>
    <t>пиломатериалы хвойных пород. доски обрезные длиной 4-6,5 м, шириной 75-150 мм, толщиной 25 мм iii сорта</t>
  </si>
  <si>
    <t>таклиф (аниқ эмас): «горячекатанная арматурная сталь периодического профиля класса а-iii диаметром 20 мм» 0.994 — 4600000</t>
  </si>
  <si>
    <t>раствор готовый кладочный цементный, марка 100</t>
  </si>
  <si>
    <t>электроды диаметром 6 мм э42</t>
  </si>
  <si>
    <t>2пк59.10-8а400-с9</t>
  </si>
  <si>
    <t>2пк59.12-8а400-с9</t>
  </si>
  <si>
    <t>2пк63.10-8а400-с9</t>
  </si>
  <si>
    <t>2пк63.12-8а400-с9</t>
  </si>
  <si>
    <t>2пк39.10-8а400-с9</t>
  </si>
  <si>
    <t>дрели электрические</t>
  </si>
  <si>
    <t>смесь растворная сухая</t>
  </si>
  <si>
    <t>блоки из газобетона стеновые толщиной 200 мм</t>
  </si>
  <si>
    <t>блоки из газобетона стеновые толщиной 400 мм</t>
  </si>
  <si>
    <t>1000шт</t>
  </si>
  <si>
    <t>кирпич керамический, силикатный или пустотелый размер и марка по проекту</t>
  </si>
  <si>
    <t>раствор готовый кладочный тяжелый цементный, марка: 50</t>
  </si>
  <si>
    <t>пиломатериалы хвойных пород. бруски обрезные длиной 4-6,5 м, шириной 75-150 мм, толщиной 40-75 мм iv сорта</t>
  </si>
  <si>
    <t>лебедки электрические, тяговым усилием 19,62 (2) кн (т)</t>
  </si>
  <si>
    <t>минеральная вата толщ.30мм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</si>
</sst>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Times New Roman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 Cyr"/>
      <charset val="204"/>
    </font>
    <font>
      <sz val="10"/>
      <name val="Times New Roman"/>
      <charset val="204"/>
    </font>
    <font>
      <b/>
      <sz val="8"/>
      <color rgb="FF000080"/>
      <name val="Arial"/>
      <family val="2"/>
      <charset val="204"/>
    </font>
    <font>
      <i/>
      <sz val="8"/>
      <color rgb="FF0000FF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D9E1F2"/>
      </patternFill>
    </fill>
    <fill>
      <patternFill patternType="solid">
        <fgColor rgb="FFE7E6E6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50">
    <xf numFmtId="0" fontId="0" fillId="0" borderId="0" xfId="0"/>
    <xf numFmtId="0" fontId="1" fillId="0" borderId="0" xfId="1" applyFont="1"/>
    <xf numFmtId="0" fontId="7" fillId="0" borderId="3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top" wrapText="1"/>
    </xf>
    <xf numFmtId="0" fontId="5" fillId="2" borderId="13" xfId="1" applyFont="1" applyFill="1" applyBorder="1" applyAlignment="1">
      <alignment horizontal="left" vertical="top" wrapText="1"/>
    </xf>
    <xf numFmtId="4" fontId="1" fillId="2" borderId="13" xfId="1" applyNumberFormat="1" applyFont="1" applyFill="1" applyBorder="1"/>
    <xf numFmtId="4" fontId="1" fillId="2" borderId="0" xfId="1" applyNumberFormat="1" applyFont="1" applyFill="1"/>
    <xf numFmtId="0" fontId="1" fillId="2" borderId="0" xfId="1" applyFont="1" applyFill="1"/>
    <xf numFmtId="0" fontId="6" fillId="0" borderId="13" xfId="1" applyFont="1" applyBorder="1" applyAlignment="1">
      <alignment horizontal="center" vertical="top" wrapText="1"/>
    </xf>
    <xf numFmtId="0" fontId="6" fillId="0" borderId="13" xfId="1" applyFont="1" applyBorder="1" applyAlignment="1">
      <alignment horizontal="left" vertical="top" wrapText="1"/>
    </xf>
    <xf numFmtId="0" fontId="6" fillId="0" borderId="13" xfId="1" applyFont="1" applyBorder="1" applyAlignment="1">
      <alignment horizontal="right" vertical="top" wrapText="1"/>
    </xf>
    <xf numFmtId="4" fontId="1" fillId="0" borderId="13" xfId="1" applyNumberFormat="1" applyFont="1" applyBorder="1"/>
    <xf numFmtId="4" fontId="1" fillId="0" borderId="0" xfId="1" applyNumberFormat="1" applyFont="1"/>
    <xf numFmtId="0" fontId="6" fillId="2" borderId="13" xfId="1" applyFont="1" applyFill="1" applyBorder="1" applyAlignment="1">
      <alignment horizontal="center" vertical="top" wrapText="1"/>
    </xf>
    <xf numFmtId="0" fontId="6" fillId="2" borderId="13" xfId="1" applyFont="1" applyFill="1" applyBorder="1" applyAlignment="1">
      <alignment horizontal="left" vertical="top" wrapText="1"/>
    </xf>
    <xf numFmtId="0" fontId="6" fillId="2" borderId="13" xfId="1" applyFont="1" applyFill="1" applyBorder="1" applyAlignment="1">
      <alignment horizontal="right" vertical="top" wrapText="1"/>
    </xf>
    <xf numFmtId="0" fontId="5" fillId="0" borderId="13" xfId="1" applyFont="1" applyBorder="1" applyAlignment="1">
      <alignment horizontal="center" vertical="top" wrapText="1"/>
    </xf>
    <xf numFmtId="0" fontId="5" fillId="0" borderId="13" xfId="1" applyFont="1" applyBorder="1" applyAlignment="1">
      <alignment horizontal="left" vertical="top" wrapText="1"/>
    </xf>
    <xf numFmtId="0" fontId="1" fillId="5" borderId="13" xfId="1" applyFont="1" applyFill="1" applyBorder="1"/>
    <xf numFmtId="0" fontId="10" fillId="5" borderId="13" xfId="1" applyFont="1" applyFill="1" applyBorder="1"/>
    <xf numFmtId="10" fontId="1" fillId="5" borderId="13" xfId="1" applyNumberFormat="1" applyFont="1" applyFill="1" applyBorder="1"/>
    <xf numFmtId="4" fontId="10" fillId="5" borderId="13" xfId="1" applyNumberFormat="1" applyFont="1" applyFill="1" applyBorder="1"/>
    <xf numFmtId="0" fontId="11" fillId="5" borderId="13" xfId="2" applyFont="1" applyFill="1" applyBorder="1"/>
    <xf numFmtId="10" fontId="2" fillId="5" borderId="13" xfId="2" applyNumberFormat="1" applyFont="1" applyFill="1" applyBorder="1"/>
    <xf numFmtId="0" fontId="10" fillId="5" borderId="13" xfId="2" applyFont="1" applyFill="1" applyBorder="1"/>
    <xf numFmtId="10" fontId="1" fillId="5" borderId="13" xfId="2" applyNumberFormat="1" applyFont="1" applyFill="1" applyBorder="1"/>
    <xf numFmtId="10" fontId="10" fillId="5" borderId="13" xfId="2" applyNumberFormat="1" applyFont="1" applyFill="1" applyBorder="1"/>
    <xf numFmtId="10" fontId="10" fillId="5" borderId="13" xfId="1" applyNumberFormat="1" applyFont="1" applyFill="1" applyBorder="1"/>
    <xf numFmtId="0" fontId="12" fillId="6" borderId="0" xfId="0" applyFont="1" applyFill="1" applyAlignment="1">
      <alignment horizontal="center" vertical="center" wrapText="1"/>
    </xf>
    <xf numFmtId="0" fontId="0" fillId="7" borderId="0" xfId="0" applyFill="1"/>
    <xf numFmtId="0" fontId="0" fillId="4" borderId="0" xfId="0" applyFill="1"/>
    <xf numFmtId="0" fontId="0" fillId="3" borderId="0" xfId="0" applyFill="1"/>
    <xf numFmtId="0" fontId="5" fillId="2" borderId="13" xfId="1" applyFont="1" applyFill="1" applyBorder="1" applyAlignment="1">
      <alignment horizontal="center" vertical="top" wrapText="1"/>
    </xf>
    <xf numFmtId="0" fontId="5" fillId="0" borderId="13" xfId="1" applyFont="1" applyBorder="1" applyAlignment="1">
      <alignment horizontal="center" vertical="top" wrapText="1"/>
    </xf>
    <xf numFmtId="0" fontId="7" fillId="0" borderId="13" xfId="1" applyFont="1" applyBorder="1" applyAlignment="1">
      <alignment horizontal="center" vertical="top" wrapText="1"/>
    </xf>
    <xf numFmtId="0" fontId="8" fillId="0" borderId="0" xfId="1" applyFont="1" applyAlignment="1">
      <alignment horizontal="center" vertical="top" wrapText="1"/>
    </xf>
    <xf numFmtId="0" fontId="7" fillId="0" borderId="14" xfId="1" applyFont="1" applyBorder="1" applyAlignment="1">
      <alignment horizontal="center" vertical="top" wrapText="1"/>
    </xf>
    <xf numFmtId="0" fontId="7" fillId="0" borderId="10" xfId="1" applyFont="1" applyBorder="1" applyAlignment="1">
      <alignment horizontal="center" vertical="top" wrapText="1"/>
    </xf>
    <xf numFmtId="0" fontId="7" fillId="0" borderId="11" xfId="1" applyFont="1" applyBorder="1" applyAlignment="1">
      <alignment horizontal="center" vertical="top" wrapText="1"/>
    </xf>
    <xf numFmtId="0" fontId="9" fillId="0" borderId="0" xfId="1" applyFont="1" applyAlignment="1">
      <alignment horizontal="center" vertical="top" wrapText="1"/>
    </xf>
    <xf numFmtId="0" fontId="7" fillId="0" borderId="12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8" fillId="0" borderId="0" xfId="1" applyFont="1" applyAlignment="1">
      <alignment horizontal="left" vertical="top" wrapText="1"/>
    </xf>
    <xf numFmtId="0" fontId="7" fillId="0" borderId="9" xfId="1" applyFont="1" applyBorder="1" applyAlignment="1">
      <alignment horizontal="center" vertical="top" wrapText="1"/>
    </xf>
    <xf numFmtId="0" fontId="7" fillId="0" borderId="4" xfId="1" applyFont="1" applyBorder="1" applyAlignment="1">
      <alignment horizontal="center" vertical="top" wrapText="1"/>
    </xf>
    <xf numFmtId="0" fontId="7" fillId="0" borderId="6" xfId="1" applyFont="1" applyBorder="1" applyAlignment="1">
      <alignment horizontal="center" vertical="top" wrapText="1"/>
    </xf>
    <xf numFmtId="0" fontId="7" fillId="0" borderId="8" xfId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24000000}"/>
    <cellStyle name="Обычный_ФУНДАМЕНТ ОГРАЖДЕНИЯ 01=ОБЩЕСТР" xfId="2" xr:uid="{00000000-0005-0000-0000-000025000000}"/>
  </cellStyles>
  <dxfs count="1"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4"/>
  <sheetViews>
    <sheetView showGridLines="0" tabSelected="1" workbookViewId="0">
      <selection activeCell="A2" sqref="A2:F2"/>
    </sheetView>
  </sheetViews>
  <sheetFormatPr defaultColWidth="8.83203125" defaultRowHeight="12.75" x14ac:dyDescent="0.2"/>
  <cols>
    <col min="1" max="1" width="6.5" style="1" customWidth="1"/>
    <col min="2" max="2" width="13.5" style="1" customWidth="1"/>
    <col min="3" max="3" width="49" style="1" customWidth="1"/>
    <col min="4" max="4" width="9" style="1" customWidth="1"/>
    <col min="5" max="6" width="11" style="1" customWidth="1"/>
    <col min="7" max="7" width="13" style="1" customWidth="1"/>
    <col min="8" max="8" width="16.33203125" style="1" customWidth="1"/>
    <col min="9" max="10" width="14.1640625" style="1" customWidth="1"/>
    <col min="11" max="11" width="16.33203125" style="1" customWidth="1"/>
    <col min="12" max="12" width="8.83203125" style="1" customWidth="1"/>
    <col min="13" max="16384" width="8.83203125" style="1"/>
  </cols>
  <sheetData>
    <row r="1" spans="1:13" ht="29.25" customHeight="1" x14ac:dyDescent="0.2">
      <c r="A1" s="45" t="s">
        <v>0</v>
      </c>
      <c r="B1" s="45"/>
      <c r="C1" s="45"/>
      <c r="D1" s="45"/>
      <c r="E1" s="45"/>
      <c r="F1" s="45"/>
    </row>
    <row r="2" spans="1:13" ht="29.25" customHeight="1" x14ac:dyDescent="0.2">
      <c r="A2" s="45" t="s">
        <v>1</v>
      </c>
      <c r="B2" s="45"/>
      <c r="C2" s="45"/>
      <c r="D2" s="45"/>
      <c r="E2" s="45"/>
      <c r="F2" s="45"/>
    </row>
    <row r="3" spans="1:13" x14ac:dyDescent="0.2">
      <c r="A3" s="38"/>
      <c r="B3" s="38"/>
      <c r="C3" s="38"/>
      <c r="D3" s="38"/>
      <c r="E3" s="38"/>
      <c r="F3" s="38"/>
    </row>
    <row r="5" spans="1:13" ht="15.75" customHeight="1" x14ac:dyDescent="0.2">
      <c r="A5" s="38" t="s">
        <v>2</v>
      </c>
      <c r="B5" s="38"/>
      <c r="C5" s="38"/>
      <c r="D5" s="38"/>
      <c r="E5" s="38"/>
      <c r="F5" s="38"/>
    </row>
    <row r="6" spans="1:13" ht="27" customHeight="1" x14ac:dyDescent="0.2">
      <c r="A6" s="38" t="s">
        <v>3</v>
      </c>
      <c r="B6" s="38"/>
      <c r="C6" s="38"/>
      <c r="D6" s="38"/>
      <c r="E6" s="38"/>
      <c r="F6" s="38"/>
    </row>
    <row r="7" spans="1:13" x14ac:dyDescent="0.2">
      <c r="A7" s="42"/>
      <c r="B7" s="42"/>
      <c r="C7" s="42"/>
      <c r="D7" s="42"/>
      <c r="E7" s="42"/>
      <c r="F7" s="42"/>
    </row>
    <row r="8" spans="1:13" x14ac:dyDescent="0.2">
      <c r="A8" s="38"/>
      <c r="B8" s="38"/>
      <c r="C8" s="38"/>
      <c r="D8" s="38"/>
      <c r="E8" s="38"/>
      <c r="F8" s="38"/>
    </row>
    <row r="9" spans="1:13" ht="15.75" customHeight="1" x14ac:dyDescent="0.2">
      <c r="A9" s="45" t="s">
        <v>4</v>
      </c>
      <c r="B9" s="45"/>
      <c r="C9" s="45"/>
      <c r="D9" s="45"/>
      <c r="E9" s="45"/>
      <c r="F9" s="45"/>
    </row>
    <row r="11" spans="1:13" x14ac:dyDescent="0.2">
      <c r="A11" s="43" t="s">
        <v>5</v>
      </c>
      <c r="B11" s="43" t="s">
        <v>6</v>
      </c>
      <c r="C11" s="43" t="s">
        <v>7</v>
      </c>
      <c r="D11" s="43" t="s">
        <v>8</v>
      </c>
      <c r="E11" s="43" t="s">
        <v>9</v>
      </c>
      <c r="F11" s="49"/>
    </row>
    <row r="12" spans="1:13" ht="22.5" customHeight="1" x14ac:dyDescent="0.2">
      <c r="A12" s="44"/>
      <c r="B12" s="44"/>
      <c r="C12" s="44"/>
      <c r="D12" s="44"/>
      <c r="E12" s="5" t="s">
        <v>10</v>
      </c>
      <c r="F12" s="5" t="s">
        <v>11</v>
      </c>
    </row>
    <row r="13" spans="1:13" x14ac:dyDescent="0.2">
      <c r="A13" s="4">
        <v>1</v>
      </c>
      <c r="B13" s="3">
        <v>2</v>
      </c>
      <c r="C13" s="3">
        <v>3</v>
      </c>
      <c r="D13" s="3">
        <v>4</v>
      </c>
      <c r="E13" s="2">
        <v>5</v>
      </c>
      <c r="F13" s="2">
        <v>6</v>
      </c>
    </row>
    <row r="14" spans="1:13" ht="12.75" customHeight="1" x14ac:dyDescent="0.2">
      <c r="A14" s="46"/>
      <c r="B14" s="47"/>
      <c r="C14" s="47"/>
      <c r="D14" s="47"/>
      <c r="E14" s="47"/>
      <c r="F14" s="48"/>
    </row>
    <row r="15" spans="1:13" ht="12.75" customHeight="1" x14ac:dyDescent="0.2">
      <c r="A15" s="39" t="s">
        <v>12</v>
      </c>
      <c r="B15" s="40"/>
      <c r="C15" s="40"/>
      <c r="D15" s="40"/>
      <c r="E15" s="40"/>
      <c r="F15" s="41"/>
    </row>
    <row r="16" spans="1:13" ht="67.5" customHeight="1" x14ac:dyDescent="0.2">
      <c r="A16" s="6" t="s">
        <v>13</v>
      </c>
      <c r="B16" s="6" t="s">
        <v>14</v>
      </c>
      <c r="C16" s="7" t="s">
        <v>15</v>
      </c>
      <c r="D16" s="6" t="s">
        <v>16</v>
      </c>
      <c r="E16" s="35" t="s">
        <v>17</v>
      </c>
      <c r="F16" s="35"/>
      <c r="G16" s="8">
        <v>0</v>
      </c>
      <c r="H16" s="8">
        <f t="shared" ref="H16:H79" si="0">IF(ISNUMBER(G16),IF(F16="",E16*G16,F16*G16),0)</f>
        <v>0</v>
      </c>
      <c r="I16" s="9"/>
      <c r="J16" s="9"/>
      <c r="K16" s="9">
        <f>H16</f>
        <v>0</v>
      </c>
      <c r="L16" s="10"/>
      <c r="M16" s="10"/>
    </row>
    <row r="17" spans="1:13" x14ac:dyDescent="0.2">
      <c r="A17" s="11" t="s">
        <v>18</v>
      </c>
      <c r="B17" s="11" t="s">
        <v>19</v>
      </c>
      <c r="C17" s="12" t="s">
        <v>20</v>
      </c>
      <c r="D17" s="11" t="s">
        <v>21</v>
      </c>
      <c r="E17" s="13" t="s">
        <v>22</v>
      </c>
      <c r="F17" s="13" t="s">
        <v>23</v>
      </c>
      <c r="G17" s="14">
        <v>15807.93</v>
      </c>
      <c r="H17" s="14">
        <f t="shared" si="0"/>
        <v>794730.56965285796</v>
      </c>
      <c r="I17" s="15">
        <f>H17</f>
        <v>794730.56965285796</v>
      </c>
      <c r="J17" s="15"/>
      <c r="K17" s="15"/>
    </row>
    <row r="18" spans="1:13" x14ac:dyDescent="0.2">
      <c r="A18" s="16" t="s">
        <v>24</v>
      </c>
      <c r="B18" s="16" t="s">
        <v>25</v>
      </c>
      <c r="C18" s="17" t="s">
        <v>26</v>
      </c>
      <c r="D18" s="16" t="s">
        <v>21</v>
      </c>
      <c r="E18" s="18" t="s">
        <v>27</v>
      </c>
      <c r="F18" s="18" t="s">
        <v>28</v>
      </c>
      <c r="G18" s="8">
        <v>0</v>
      </c>
      <c r="H18" s="8">
        <f t="shared" si="0"/>
        <v>0</v>
      </c>
      <c r="I18" s="9"/>
      <c r="J18" s="9">
        <f>H18</f>
        <v>0</v>
      </c>
      <c r="K18" s="9"/>
      <c r="L18" s="10"/>
      <c r="M18" s="10"/>
    </row>
    <row r="19" spans="1:13" ht="33.75" customHeight="1" x14ac:dyDescent="0.2">
      <c r="A19" s="11" t="s">
        <v>29</v>
      </c>
      <c r="B19" s="11" t="s">
        <v>30</v>
      </c>
      <c r="C19" s="12" t="s">
        <v>31</v>
      </c>
      <c r="D19" s="11" t="s">
        <v>32</v>
      </c>
      <c r="E19" s="13" t="s">
        <v>33</v>
      </c>
      <c r="F19" s="13" t="s">
        <v>34</v>
      </c>
      <c r="G19" s="14">
        <v>61720</v>
      </c>
      <c r="H19" s="14">
        <f t="shared" si="0"/>
        <v>2075674.657504</v>
      </c>
      <c r="I19" s="15"/>
      <c r="J19" s="15">
        <f>H19</f>
        <v>2075674.657504</v>
      </c>
      <c r="K19" s="15"/>
    </row>
    <row r="20" spans="1:13" ht="45" customHeight="1" x14ac:dyDescent="0.2">
      <c r="A20" s="11" t="s">
        <v>35</v>
      </c>
      <c r="B20" s="11" t="s">
        <v>36</v>
      </c>
      <c r="C20" s="12" t="s">
        <v>37</v>
      </c>
      <c r="D20" s="11" t="s">
        <v>32</v>
      </c>
      <c r="E20" s="13" t="s">
        <v>38</v>
      </c>
      <c r="F20" s="13" t="s">
        <v>39</v>
      </c>
      <c r="G20" s="14">
        <v>146066.89000000001</v>
      </c>
      <c r="H20" s="14">
        <f t="shared" si="0"/>
        <v>15839670.935231218</v>
      </c>
      <c r="I20" s="15"/>
      <c r="J20" s="15">
        <f>H20</f>
        <v>15839670.935231218</v>
      </c>
      <c r="K20" s="15"/>
    </row>
    <row r="21" spans="1:13" ht="22.5" customHeight="1" x14ac:dyDescent="0.2">
      <c r="A21" s="6" t="s">
        <v>40</v>
      </c>
      <c r="B21" s="6" t="s">
        <v>41</v>
      </c>
      <c r="C21" s="7" t="s">
        <v>42</v>
      </c>
      <c r="D21" s="6" t="s">
        <v>43</v>
      </c>
      <c r="E21" s="35" t="s">
        <v>44</v>
      </c>
      <c r="F21" s="35"/>
      <c r="G21" s="8">
        <v>0</v>
      </c>
      <c r="H21" s="8">
        <f t="shared" si="0"/>
        <v>0</v>
      </c>
      <c r="I21" s="9"/>
      <c r="J21" s="9"/>
      <c r="K21" s="9">
        <f>H21</f>
        <v>0</v>
      </c>
      <c r="L21" s="10"/>
      <c r="M21" s="10"/>
    </row>
    <row r="22" spans="1:13" ht="22.5" customHeight="1" x14ac:dyDescent="0.2">
      <c r="A22" s="16" t="s">
        <v>45</v>
      </c>
      <c r="B22" s="16" t="s">
        <v>25</v>
      </c>
      <c r="C22" s="17" t="s">
        <v>26</v>
      </c>
      <c r="D22" s="16" t="s">
        <v>21</v>
      </c>
      <c r="E22" s="18" t="s">
        <v>46</v>
      </c>
      <c r="F22" s="18" t="s">
        <v>47</v>
      </c>
      <c r="G22" s="8">
        <v>0</v>
      </c>
      <c r="H22" s="8">
        <f t="shared" si="0"/>
        <v>0</v>
      </c>
      <c r="I22" s="9"/>
      <c r="J22" s="9">
        <f>H22</f>
        <v>0</v>
      </c>
      <c r="K22" s="9"/>
      <c r="L22" s="10"/>
      <c r="M22" s="10"/>
    </row>
    <row r="23" spans="1:13" ht="22.5" customHeight="1" x14ac:dyDescent="0.2">
      <c r="A23" s="11" t="s">
        <v>48</v>
      </c>
      <c r="B23" s="11" t="s">
        <v>49</v>
      </c>
      <c r="C23" s="12" t="s">
        <v>50</v>
      </c>
      <c r="D23" s="11" t="s">
        <v>32</v>
      </c>
      <c r="E23" s="13" t="s">
        <v>46</v>
      </c>
      <c r="F23" s="13" t="s">
        <v>47</v>
      </c>
      <c r="G23" s="14">
        <v>45800</v>
      </c>
      <c r="H23" s="14">
        <f t="shared" si="0"/>
        <v>59599291.434239998</v>
      </c>
      <c r="I23" s="15"/>
      <c r="J23" s="15">
        <f>H23</f>
        <v>59599291.434239998</v>
      </c>
      <c r="K23" s="15"/>
    </row>
    <row r="24" spans="1:13" ht="22.5" customHeight="1" x14ac:dyDescent="0.2">
      <c r="A24" s="6" t="s">
        <v>51</v>
      </c>
      <c r="B24" s="6" t="s">
        <v>41</v>
      </c>
      <c r="C24" s="7" t="s">
        <v>52</v>
      </c>
      <c r="D24" s="6" t="s">
        <v>43</v>
      </c>
      <c r="E24" s="35" t="s">
        <v>53</v>
      </c>
      <c r="F24" s="35"/>
      <c r="G24" s="8">
        <v>0</v>
      </c>
      <c r="H24" s="8">
        <f t="shared" si="0"/>
        <v>0</v>
      </c>
      <c r="I24" s="9"/>
      <c r="J24" s="9"/>
      <c r="K24" s="9">
        <f>H24</f>
        <v>0</v>
      </c>
      <c r="L24" s="10"/>
      <c r="M24" s="10"/>
    </row>
    <row r="25" spans="1:13" ht="22.5" customHeight="1" x14ac:dyDescent="0.2">
      <c r="A25" s="16" t="s">
        <v>54</v>
      </c>
      <c r="B25" s="16" t="s">
        <v>25</v>
      </c>
      <c r="C25" s="17" t="s">
        <v>26</v>
      </c>
      <c r="D25" s="16" t="s">
        <v>21</v>
      </c>
      <c r="E25" s="18" t="s">
        <v>46</v>
      </c>
      <c r="F25" s="18" t="s">
        <v>55</v>
      </c>
      <c r="G25" s="8">
        <v>0</v>
      </c>
      <c r="H25" s="8">
        <f t="shared" si="0"/>
        <v>0</v>
      </c>
      <c r="I25" s="9"/>
      <c r="J25" s="9">
        <f>H25</f>
        <v>0</v>
      </c>
      <c r="K25" s="9"/>
      <c r="L25" s="10"/>
      <c r="M25" s="10"/>
    </row>
    <row r="26" spans="1:13" ht="22.5" customHeight="1" x14ac:dyDescent="0.2">
      <c r="A26" s="11" t="s">
        <v>56</v>
      </c>
      <c r="B26" s="11" t="s">
        <v>49</v>
      </c>
      <c r="C26" s="12" t="s">
        <v>50</v>
      </c>
      <c r="D26" s="11" t="s">
        <v>32</v>
      </c>
      <c r="E26" s="13" t="s">
        <v>46</v>
      </c>
      <c r="F26" s="13" t="s">
        <v>55</v>
      </c>
      <c r="G26" s="14">
        <v>45800</v>
      </c>
      <c r="H26" s="14">
        <f t="shared" si="0"/>
        <v>32054797.413120002</v>
      </c>
      <c r="I26" s="15"/>
      <c r="J26" s="15">
        <f>H26</f>
        <v>32054797.413120002</v>
      </c>
      <c r="K26" s="15"/>
    </row>
    <row r="27" spans="1:13" x14ac:dyDescent="0.2">
      <c r="A27" s="19" t="s">
        <v>57</v>
      </c>
      <c r="B27" s="19" t="s">
        <v>58</v>
      </c>
      <c r="C27" s="20" t="s">
        <v>59</v>
      </c>
      <c r="D27" s="19" t="s">
        <v>60</v>
      </c>
      <c r="E27" s="36" t="s">
        <v>61</v>
      </c>
      <c r="F27" s="36"/>
      <c r="G27" s="14">
        <v>3000</v>
      </c>
      <c r="H27" s="14">
        <f t="shared" si="0"/>
        <v>13842689.999999998</v>
      </c>
      <c r="I27" s="15"/>
      <c r="J27" s="15"/>
      <c r="K27" s="15">
        <f>H27</f>
        <v>13842689.999999998</v>
      </c>
    </row>
    <row r="28" spans="1:13" ht="33.75" customHeight="1" x14ac:dyDescent="0.2">
      <c r="A28" s="6" t="s">
        <v>62</v>
      </c>
      <c r="B28" s="6" t="s">
        <v>63</v>
      </c>
      <c r="C28" s="7" t="s">
        <v>64</v>
      </c>
      <c r="D28" s="6" t="s">
        <v>16</v>
      </c>
      <c r="E28" s="35" t="s">
        <v>65</v>
      </c>
      <c r="F28" s="35"/>
      <c r="G28" s="8">
        <v>0</v>
      </c>
      <c r="H28" s="8">
        <f t="shared" si="0"/>
        <v>0</v>
      </c>
      <c r="I28" s="9"/>
      <c r="J28" s="9"/>
      <c r="K28" s="9">
        <f>H28</f>
        <v>0</v>
      </c>
      <c r="L28" s="10"/>
      <c r="M28" s="10"/>
    </row>
    <row r="29" spans="1:13" x14ac:dyDescent="0.2">
      <c r="A29" s="11" t="s">
        <v>66</v>
      </c>
      <c r="B29" s="11" t="s">
        <v>19</v>
      </c>
      <c r="C29" s="12" t="s">
        <v>20</v>
      </c>
      <c r="D29" s="11" t="s">
        <v>21</v>
      </c>
      <c r="E29" s="13" t="s">
        <v>67</v>
      </c>
      <c r="F29" s="13" t="s">
        <v>68</v>
      </c>
      <c r="G29" s="14">
        <v>15807.93</v>
      </c>
      <c r="H29" s="14">
        <f t="shared" si="0"/>
        <v>147341.67818467799</v>
      </c>
      <c r="I29" s="15">
        <f>H29</f>
        <v>147341.67818467799</v>
      </c>
      <c r="J29" s="15"/>
      <c r="K29" s="15"/>
    </row>
    <row r="30" spans="1:13" x14ac:dyDescent="0.2">
      <c r="A30" s="16" t="s">
        <v>69</v>
      </c>
      <c r="B30" s="16" t="s">
        <v>25</v>
      </c>
      <c r="C30" s="17" t="s">
        <v>26</v>
      </c>
      <c r="D30" s="16" t="s">
        <v>21</v>
      </c>
      <c r="E30" s="18" t="s">
        <v>70</v>
      </c>
      <c r="F30" s="18" t="s">
        <v>71</v>
      </c>
      <c r="G30" s="8">
        <v>0</v>
      </c>
      <c r="H30" s="8">
        <f t="shared" si="0"/>
        <v>0</v>
      </c>
      <c r="I30" s="9"/>
      <c r="J30" s="9">
        <f t="shared" ref="J30:J37" si="1">H30</f>
        <v>0</v>
      </c>
      <c r="K30" s="9"/>
      <c r="L30" s="10"/>
      <c r="M30" s="10"/>
    </row>
    <row r="31" spans="1:13" ht="33.75" customHeight="1" x14ac:dyDescent="0.2">
      <c r="A31" s="11" t="s">
        <v>72</v>
      </c>
      <c r="B31" s="11" t="s">
        <v>30</v>
      </c>
      <c r="C31" s="12" t="s">
        <v>31</v>
      </c>
      <c r="D31" s="11" t="s">
        <v>32</v>
      </c>
      <c r="E31" s="13" t="s">
        <v>73</v>
      </c>
      <c r="F31" s="13" t="s">
        <v>74</v>
      </c>
      <c r="G31" s="14">
        <v>61720</v>
      </c>
      <c r="H31" s="14">
        <f t="shared" si="0"/>
        <v>3821885.4985520002</v>
      </c>
      <c r="I31" s="15"/>
      <c r="J31" s="15">
        <f t="shared" si="1"/>
        <v>3821885.4985520002</v>
      </c>
      <c r="K31" s="15"/>
    </row>
    <row r="32" spans="1:13" ht="22.5" customHeight="1" x14ac:dyDescent="0.2">
      <c r="A32" s="11" t="s">
        <v>75</v>
      </c>
      <c r="B32" s="11" t="s">
        <v>76</v>
      </c>
      <c r="C32" s="12" t="s">
        <v>77</v>
      </c>
      <c r="D32" s="11" t="s">
        <v>32</v>
      </c>
      <c r="E32" s="13" t="s">
        <v>78</v>
      </c>
      <c r="F32" s="13" t="s">
        <v>79</v>
      </c>
      <c r="G32" s="14">
        <v>3351.74</v>
      </c>
      <c r="H32" s="14">
        <f t="shared" si="0"/>
        <v>440617.77192309796</v>
      </c>
      <c r="I32" s="15"/>
      <c r="J32" s="15">
        <f t="shared" si="1"/>
        <v>440617.77192309796</v>
      </c>
      <c r="K32" s="15"/>
    </row>
    <row r="33" spans="1:13" ht="22.5" customHeight="1" x14ac:dyDescent="0.2">
      <c r="A33" s="11" t="s">
        <v>80</v>
      </c>
      <c r="B33" s="11" t="s">
        <v>81</v>
      </c>
      <c r="C33" s="12" t="s">
        <v>82</v>
      </c>
      <c r="D33" s="11" t="s">
        <v>32</v>
      </c>
      <c r="E33" s="13" t="s">
        <v>83</v>
      </c>
      <c r="F33" s="13" t="s">
        <v>84</v>
      </c>
      <c r="G33" s="14">
        <v>80000</v>
      </c>
      <c r="H33" s="14">
        <f t="shared" si="0"/>
        <v>10900656.952</v>
      </c>
      <c r="I33" s="15"/>
      <c r="J33" s="15">
        <f t="shared" si="1"/>
        <v>10900656.952</v>
      </c>
      <c r="K33" s="15"/>
    </row>
    <row r="34" spans="1:13" x14ac:dyDescent="0.2">
      <c r="A34" s="11" t="s">
        <v>85</v>
      </c>
      <c r="B34" s="11" t="s">
        <v>86</v>
      </c>
      <c r="C34" s="12" t="s">
        <v>87</v>
      </c>
      <c r="D34" s="11" t="s">
        <v>32</v>
      </c>
      <c r="E34" s="13" t="s">
        <v>88</v>
      </c>
      <c r="F34" s="13" t="s">
        <v>89</v>
      </c>
      <c r="G34" s="14">
        <v>68099.44</v>
      </c>
      <c r="H34" s="14">
        <f t="shared" si="0"/>
        <v>34564.912693432001</v>
      </c>
      <c r="I34" s="15"/>
      <c r="J34" s="15">
        <f t="shared" si="1"/>
        <v>34564.912693432001</v>
      </c>
      <c r="K34" s="15"/>
    </row>
    <row r="35" spans="1:13" ht="56.25" customHeight="1" x14ac:dyDescent="0.2">
      <c r="A35" s="11" t="s">
        <v>90</v>
      </c>
      <c r="B35" s="11" t="s">
        <v>91</v>
      </c>
      <c r="C35" s="12" t="s">
        <v>92</v>
      </c>
      <c r="D35" s="11" t="s">
        <v>32</v>
      </c>
      <c r="E35" s="13" t="s">
        <v>93</v>
      </c>
      <c r="F35" s="13" t="s">
        <v>94</v>
      </c>
      <c r="G35" s="14">
        <v>93144.2</v>
      </c>
      <c r="H35" s="14">
        <f t="shared" si="0"/>
        <v>9601480.94232044</v>
      </c>
      <c r="I35" s="15"/>
      <c r="J35" s="15">
        <f t="shared" si="1"/>
        <v>9601480.94232044</v>
      </c>
      <c r="K35" s="15"/>
    </row>
    <row r="36" spans="1:13" ht="33.75" customHeight="1" x14ac:dyDescent="0.2">
      <c r="A36" s="11" t="s">
        <v>95</v>
      </c>
      <c r="B36" s="11" t="s">
        <v>96</v>
      </c>
      <c r="C36" s="12" t="s">
        <v>97</v>
      </c>
      <c r="D36" s="11" t="s">
        <v>32</v>
      </c>
      <c r="E36" s="13" t="s">
        <v>98</v>
      </c>
      <c r="F36" s="13" t="s">
        <v>99</v>
      </c>
      <c r="G36" s="14">
        <v>65691.27</v>
      </c>
      <c r="H36" s="14">
        <f t="shared" si="0"/>
        <v>366768.70081424108</v>
      </c>
      <c r="I36" s="15"/>
      <c r="J36" s="15">
        <f t="shared" si="1"/>
        <v>366768.70081424108</v>
      </c>
      <c r="K36" s="15"/>
    </row>
    <row r="37" spans="1:13" ht="33.75" customHeight="1" x14ac:dyDescent="0.2">
      <c r="A37" s="11" t="s">
        <v>100</v>
      </c>
      <c r="B37" s="11" t="s">
        <v>101</v>
      </c>
      <c r="C37" s="12" t="s">
        <v>102</v>
      </c>
      <c r="D37" s="11" t="s">
        <v>32</v>
      </c>
      <c r="E37" s="13" t="s">
        <v>78</v>
      </c>
      <c r="F37" s="13" t="s">
        <v>79</v>
      </c>
      <c r="G37" s="14">
        <v>85010.43</v>
      </c>
      <c r="H37" s="14">
        <f t="shared" si="0"/>
        <v>11175421.20117446</v>
      </c>
      <c r="I37" s="15"/>
      <c r="J37" s="15">
        <f t="shared" si="1"/>
        <v>11175421.20117446</v>
      </c>
      <c r="K37" s="15"/>
    </row>
    <row r="38" spans="1:13" x14ac:dyDescent="0.2">
      <c r="A38" s="11" t="s">
        <v>103</v>
      </c>
      <c r="B38" s="11" t="s">
        <v>104</v>
      </c>
      <c r="C38" s="12" t="s">
        <v>105</v>
      </c>
      <c r="D38" s="11" t="s">
        <v>60</v>
      </c>
      <c r="E38" s="13" t="s">
        <v>57</v>
      </c>
      <c r="F38" s="13" t="s">
        <v>106</v>
      </c>
      <c r="G38" s="14">
        <v>0</v>
      </c>
      <c r="H38" s="14">
        <f t="shared" si="0"/>
        <v>0</v>
      </c>
      <c r="I38" s="15"/>
      <c r="J38" s="15"/>
      <c r="K38" s="15">
        <f>H38</f>
        <v>0</v>
      </c>
    </row>
    <row r="39" spans="1:13" ht="45" customHeight="1" x14ac:dyDescent="0.2">
      <c r="A39" s="6" t="s">
        <v>107</v>
      </c>
      <c r="B39" s="6" t="s">
        <v>108</v>
      </c>
      <c r="C39" s="7" t="s">
        <v>109</v>
      </c>
      <c r="D39" s="6" t="s">
        <v>16</v>
      </c>
      <c r="E39" s="35" t="s">
        <v>110</v>
      </c>
      <c r="F39" s="35"/>
      <c r="G39" s="8">
        <v>0</v>
      </c>
      <c r="H39" s="8">
        <f t="shared" si="0"/>
        <v>0</v>
      </c>
      <c r="I39" s="9"/>
      <c r="J39" s="9"/>
      <c r="K39" s="9">
        <f>H39</f>
        <v>0</v>
      </c>
      <c r="L39" s="10"/>
      <c r="M39" s="10"/>
    </row>
    <row r="40" spans="1:13" x14ac:dyDescent="0.2">
      <c r="A40" s="16" t="s">
        <v>111</v>
      </c>
      <c r="B40" s="16" t="s">
        <v>25</v>
      </c>
      <c r="C40" s="17" t="s">
        <v>26</v>
      </c>
      <c r="D40" s="16" t="s">
        <v>21</v>
      </c>
      <c r="E40" s="18" t="s">
        <v>112</v>
      </c>
      <c r="F40" s="18" t="s">
        <v>113</v>
      </c>
      <c r="G40" s="8">
        <v>0</v>
      </c>
      <c r="H40" s="8">
        <f t="shared" si="0"/>
        <v>0</v>
      </c>
      <c r="I40" s="9"/>
      <c r="J40" s="9">
        <f>H40</f>
        <v>0</v>
      </c>
      <c r="K40" s="9"/>
      <c r="L40" s="10"/>
      <c r="M40" s="10"/>
    </row>
    <row r="41" spans="1:13" ht="33.75" customHeight="1" x14ac:dyDescent="0.2">
      <c r="A41" s="11" t="s">
        <v>114</v>
      </c>
      <c r="B41" s="11" t="s">
        <v>30</v>
      </c>
      <c r="C41" s="12" t="s">
        <v>31</v>
      </c>
      <c r="D41" s="11" t="s">
        <v>32</v>
      </c>
      <c r="E41" s="13" t="s">
        <v>112</v>
      </c>
      <c r="F41" s="13" t="s">
        <v>113</v>
      </c>
      <c r="G41" s="14">
        <v>61720</v>
      </c>
      <c r="H41" s="14">
        <f t="shared" si="0"/>
        <v>334269.38503199996</v>
      </c>
      <c r="I41" s="15"/>
      <c r="J41" s="15">
        <f>H41</f>
        <v>334269.38503199996</v>
      </c>
      <c r="K41" s="15"/>
    </row>
    <row r="42" spans="1:13" ht="22.5" customHeight="1" x14ac:dyDescent="0.2">
      <c r="A42" s="6" t="s">
        <v>115</v>
      </c>
      <c r="B42" s="6" t="s">
        <v>116</v>
      </c>
      <c r="C42" s="7" t="s">
        <v>117</v>
      </c>
      <c r="D42" s="6" t="s">
        <v>118</v>
      </c>
      <c r="E42" s="35" t="s">
        <v>119</v>
      </c>
      <c r="F42" s="35"/>
      <c r="G42" s="8">
        <v>0</v>
      </c>
      <c r="H42" s="8">
        <f t="shared" si="0"/>
        <v>0</v>
      </c>
      <c r="I42" s="9"/>
      <c r="J42" s="9"/>
      <c r="K42" s="9">
        <f>H42</f>
        <v>0</v>
      </c>
      <c r="L42" s="10"/>
      <c r="M42" s="10"/>
    </row>
    <row r="43" spans="1:13" x14ac:dyDescent="0.2">
      <c r="A43" s="11" t="s">
        <v>120</v>
      </c>
      <c r="B43" s="11" t="s">
        <v>19</v>
      </c>
      <c r="C43" s="12" t="s">
        <v>20</v>
      </c>
      <c r="D43" s="11" t="s">
        <v>21</v>
      </c>
      <c r="E43" s="13" t="s">
        <v>121</v>
      </c>
      <c r="F43" s="13" t="s">
        <v>122</v>
      </c>
      <c r="G43" s="14">
        <v>15807.93</v>
      </c>
      <c r="H43" s="14">
        <f t="shared" si="0"/>
        <v>1047806.44571628</v>
      </c>
      <c r="I43" s="15">
        <f>H43</f>
        <v>1047806.44571628</v>
      </c>
      <c r="J43" s="15"/>
      <c r="K43" s="15"/>
    </row>
    <row r="44" spans="1:13" ht="22.5" customHeight="1" x14ac:dyDescent="0.2">
      <c r="A44" s="6" t="s">
        <v>123</v>
      </c>
      <c r="B44" s="6" t="s">
        <v>124</v>
      </c>
      <c r="C44" s="7" t="s">
        <v>125</v>
      </c>
      <c r="D44" s="6" t="s">
        <v>118</v>
      </c>
      <c r="E44" s="35" t="s">
        <v>126</v>
      </c>
      <c r="F44" s="35"/>
      <c r="G44" s="8">
        <v>0</v>
      </c>
      <c r="H44" s="8">
        <f t="shared" si="0"/>
        <v>0</v>
      </c>
      <c r="I44" s="9"/>
      <c r="J44" s="9"/>
      <c r="K44" s="9">
        <f>H44</f>
        <v>0</v>
      </c>
      <c r="L44" s="10"/>
      <c r="M44" s="10"/>
    </row>
    <row r="45" spans="1:13" ht="22.5" customHeight="1" x14ac:dyDescent="0.2">
      <c r="A45" s="11" t="s">
        <v>127</v>
      </c>
      <c r="B45" s="11" t="s">
        <v>19</v>
      </c>
      <c r="C45" s="12" t="s">
        <v>20</v>
      </c>
      <c r="D45" s="11" t="s">
        <v>21</v>
      </c>
      <c r="E45" s="13" t="s">
        <v>128</v>
      </c>
      <c r="F45" s="13" t="s">
        <v>129</v>
      </c>
      <c r="G45" s="14">
        <v>15807.93</v>
      </c>
      <c r="H45" s="14">
        <f t="shared" si="0"/>
        <v>2566371.1988855433</v>
      </c>
      <c r="I45" s="15">
        <f>H45</f>
        <v>2566371.1988855433</v>
      </c>
      <c r="J45" s="15"/>
      <c r="K45" s="15"/>
    </row>
    <row r="46" spans="1:13" x14ac:dyDescent="0.2">
      <c r="A46" s="16" t="s">
        <v>130</v>
      </c>
      <c r="B46" s="16" t="s">
        <v>25</v>
      </c>
      <c r="C46" s="17" t="s">
        <v>26</v>
      </c>
      <c r="D46" s="16" t="s">
        <v>21</v>
      </c>
      <c r="E46" s="18" t="s">
        <v>131</v>
      </c>
      <c r="F46" s="18" t="s">
        <v>132</v>
      </c>
      <c r="G46" s="8">
        <v>0</v>
      </c>
      <c r="H46" s="8">
        <f t="shared" si="0"/>
        <v>0</v>
      </c>
      <c r="I46" s="9"/>
      <c r="J46" s="9">
        <f>H46</f>
        <v>0</v>
      </c>
      <c r="K46" s="9"/>
      <c r="L46" s="10"/>
      <c r="M46" s="10"/>
    </row>
    <row r="47" spans="1:13" ht="33.75" customHeight="1" x14ac:dyDescent="0.2">
      <c r="A47" s="11" t="s">
        <v>133</v>
      </c>
      <c r="B47" s="11" t="s">
        <v>134</v>
      </c>
      <c r="C47" s="12" t="s">
        <v>135</v>
      </c>
      <c r="D47" s="11" t="s">
        <v>32</v>
      </c>
      <c r="E47" s="13" t="s">
        <v>131</v>
      </c>
      <c r="F47" s="13" t="s">
        <v>132</v>
      </c>
      <c r="G47" s="14">
        <v>35400</v>
      </c>
      <c r="H47" s="14">
        <f t="shared" si="0"/>
        <v>1394344.99872</v>
      </c>
      <c r="I47" s="15"/>
      <c r="J47" s="15">
        <f>H47</f>
        <v>1394344.99872</v>
      </c>
      <c r="K47" s="15"/>
    </row>
    <row r="48" spans="1:13" ht="22.5" customHeight="1" x14ac:dyDescent="0.2">
      <c r="A48" s="11" t="s">
        <v>136</v>
      </c>
      <c r="B48" s="11" t="s">
        <v>137</v>
      </c>
      <c r="C48" s="12" t="s">
        <v>138</v>
      </c>
      <c r="D48" s="11" t="s">
        <v>32</v>
      </c>
      <c r="E48" s="13" t="s">
        <v>139</v>
      </c>
      <c r="F48" s="13" t="s">
        <v>140</v>
      </c>
      <c r="G48" s="14">
        <v>1800</v>
      </c>
      <c r="H48" s="14">
        <f t="shared" si="0"/>
        <v>284062.03307999996</v>
      </c>
      <c r="I48" s="15"/>
      <c r="J48" s="15">
        <f>H48</f>
        <v>284062.03307999996</v>
      </c>
      <c r="K48" s="15"/>
    </row>
    <row r="49" spans="1:13" ht="12.75" customHeight="1" x14ac:dyDescent="0.2">
      <c r="A49" s="37"/>
      <c r="B49" s="37"/>
      <c r="C49" s="37"/>
      <c r="D49" s="37"/>
      <c r="E49" s="37"/>
      <c r="F49" s="37"/>
      <c r="G49" s="14"/>
      <c r="H49" s="14">
        <f t="shared" si="0"/>
        <v>0</v>
      </c>
      <c r="I49" s="15"/>
      <c r="J49" s="15"/>
      <c r="K49" s="15">
        <f>H49</f>
        <v>0</v>
      </c>
    </row>
    <row r="50" spans="1:13" ht="12.75" customHeight="1" x14ac:dyDescent="0.2">
      <c r="A50" s="37" t="s">
        <v>141</v>
      </c>
      <c r="B50" s="37"/>
      <c r="C50" s="37"/>
      <c r="D50" s="37"/>
      <c r="E50" s="37"/>
      <c r="F50" s="37"/>
      <c r="G50" s="14"/>
      <c r="H50" s="14">
        <f t="shared" si="0"/>
        <v>0</v>
      </c>
      <c r="I50" s="15"/>
      <c r="J50" s="15"/>
      <c r="K50" s="15">
        <f>H50</f>
        <v>0</v>
      </c>
    </row>
    <row r="51" spans="1:13" x14ac:dyDescent="0.2">
      <c r="A51" s="6" t="s">
        <v>142</v>
      </c>
      <c r="B51" s="6" t="s">
        <v>143</v>
      </c>
      <c r="C51" s="7" t="s">
        <v>144</v>
      </c>
      <c r="D51" s="6" t="s">
        <v>118</v>
      </c>
      <c r="E51" s="35" t="s">
        <v>145</v>
      </c>
      <c r="F51" s="35"/>
      <c r="G51" s="8">
        <v>0</v>
      </c>
      <c r="H51" s="8">
        <f t="shared" si="0"/>
        <v>0</v>
      </c>
      <c r="I51" s="9"/>
      <c r="J51" s="9"/>
      <c r="K51" s="9">
        <f>H51</f>
        <v>0</v>
      </c>
      <c r="L51" s="10"/>
      <c r="M51" s="10"/>
    </row>
    <row r="52" spans="1:13" x14ac:dyDescent="0.2">
      <c r="A52" s="11" t="s">
        <v>146</v>
      </c>
      <c r="B52" s="11" t="s">
        <v>19</v>
      </c>
      <c r="C52" s="12" t="s">
        <v>20</v>
      </c>
      <c r="D52" s="11" t="s">
        <v>21</v>
      </c>
      <c r="E52" s="13" t="s">
        <v>147</v>
      </c>
      <c r="F52" s="13" t="s">
        <v>148</v>
      </c>
      <c r="G52" s="14">
        <v>15807.93</v>
      </c>
      <c r="H52" s="14">
        <f t="shared" si="0"/>
        <v>1573521.3522000001</v>
      </c>
      <c r="I52" s="15">
        <f>H52</f>
        <v>1573521.3522000001</v>
      </c>
      <c r="J52" s="15"/>
      <c r="K52" s="15"/>
    </row>
    <row r="53" spans="1:13" x14ac:dyDescent="0.2">
      <c r="A53" s="16" t="s">
        <v>149</v>
      </c>
      <c r="B53" s="16" t="s">
        <v>25</v>
      </c>
      <c r="C53" s="17" t="s">
        <v>26</v>
      </c>
      <c r="D53" s="16" t="s">
        <v>21</v>
      </c>
      <c r="E53" s="18" t="s">
        <v>150</v>
      </c>
      <c r="F53" s="18" t="s">
        <v>151</v>
      </c>
      <c r="G53" s="8">
        <v>0</v>
      </c>
      <c r="H53" s="8">
        <f t="shared" si="0"/>
        <v>0</v>
      </c>
      <c r="I53" s="9"/>
      <c r="J53" s="9">
        <f>H53</f>
        <v>0</v>
      </c>
      <c r="K53" s="9"/>
      <c r="L53" s="10"/>
      <c r="M53" s="10"/>
    </row>
    <row r="54" spans="1:13" x14ac:dyDescent="0.2">
      <c r="A54" s="11" t="s">
        <v>152</v>
      </c>
      <c r="B54" s="11" t="s">
        <v>153</v>
      </c>
      <c r="C54" s="12" t="s">
        <v>154</v>
      </c>
      <c r="D54" s="11" t="s">
        <v>32</v>
      </c>
      <c r="E54" s="13" t="s">
        <v>155</v>
      </c>
      <c r="F54" s="13" t="s">
        <v>156</v>
      </c>
      <c r="G54" s="14">
        <v>580</v>
      </c>
      <c r="H54" s="14">
        <f t="shared" si="0"/>
        <v>15395.52</v>
      </c>
      <c r="I54" s="15"/>
      <c r="J54" s="15">
        <f>H54</f>
        <v>15395.52</v>
      </c>
      <c r="K54" s="15"/>
    </row>
    <row r="55" spans="1:13" ht="33.75" customHeight="1" x14ac:dyDescent="0.2">
      <c r="A55" s="11" t="s">
        <v>157</v>
      </c>
      <c r="B55" s="11" t="s">
        <v>158</v>
      </c>
      <c r="C55" s="12" t="s">
        <v>159</v>
      </c>
      <c r="D55" s="11" t="s">
        <v>32</v>
      </c>
      <c r="E55" s="13" t="s">
        <v>160</v>
      </c>
      <c r="F55" s="13" t="s">
        <v>161</v>
      </c>
      <c r="G55" s="14">
        <v>45270</v>
      </c>
      <c r="H55" s="14">
        <f t="shared" si="0"/>
        <v>450617.58</v>
      </c>
      <c r="I55" s="15"/>
      <c r="J55" s="15">
        <f>H55</f>
        <v>450617.58</v>
      </c>
      <c r="K55" s="15"/>
    </row>
    <row r="56" spans="1:13" ht="22.5" customHeight="1" x14ac:dyDescent="0.2">
      <c r="A56" s="11" t="s">
        <v>162</v>
      </c>
      <c r="B56" s="11" t="s">
        <v>163</v>
      </c>
      <c r="C56" s="12" t="s">
        <v>164</v>
      </c>
      <c r="D56" s="11" t="s">
        <v>32</v>
      </c>
      <c r="E56" s="13" t="s">
        <v>165</v>
      </c>
      <c r="F56" s="13" t="s">
        <v>166</v>
      </c>
      <c r="G56" s="14">
        <v>52621.06</v>
      </c>
      <c r="H56" s="14">
        <f t="shared" si="0"/>
        <v>3782.9280033999994</v>
      </c>
      <c r="I56" s="15"/>
      <c r="J56" s="15">
        <f>H56</f>
        <v>3782.9280033999994</v>
      </c>
      <c r="K56" s="15"/>
    </row>
    <row r="57" spans="1:13" x14ac:dyDescent="0.2">
      <c r="A57" s="11" t="s">
        <v>167</v>
      </c>
      <c r="B57" s="11" t="s">
        <v>168</v>
      </c>
      <c r="C57" s="12" t="s">
        <v>105</v>
      </c>
      <c r="D57" s="11" t="s">
        <v>60</v>
      </c>
      <c r="E57" s="13" t="s">
        <v>169</v>
      </c>
      <c r="F57" s="13" t="s">
        <v>170</v>
      </c>
      <c r="G57" s="14">
        <v>0</v>
      </c>
      <c r="H57" s="14">
        <f t="shared" si="0"/>
        <v>0</v>
      </c>
      <c r="I57" s="15"/>
      <c r="J57" s="15"/>
      <c r="K57" s="15">
        <f>H57</f>
        <v>0</v>
      </c>
    </row>
    <row r="58" spans="1:13" x14ac:dyDescent="0.2">
      <c r="A58" s="11" t="s">
        <v>171</v>
      </c>
      <c r="B58" s="11" t="s">
        <v>172</v>
      </c>
      <c r="C58" s="12" t="s">
        <v>173</v>
      </c>
      <c r="D58" s="11" t="s">
        <v>60</v>
      </c>
      <c r="E58" s="13" t="s">
        <v>174</v>
      </c>
      <c r="F58" s="13" t="s">
        <v>175</v>
      </c>
      <c r="G58" s="14">
        <v>325000</v>
      </c>
      <c r="H58" s="14">
        <f t="shared" si="0"/>
        <v>18331950</v>
      </c>
      <c r="I58" s="15"/>
      <c r="J58" s="15"/>
      <c r="K58" s="15">
        <f>H58</f>
        <v>18331950</v>
      </c>
    </row>
    <row r="59" spans="1:13" x14ac:dyDescent="0.2">
      <c r="A59" s="11" t="s">
        <v>176</v>
      </c>
      <c r="B59" s="11" t="s">
        <v>177</v>
      </c>
      <c r="C59" s="12" t="s">
        <v>178</v>
      </c>
      <c r="D59" s="11" t="s">
        <v>179</v>
      </c>
      <c r="E59" s="13" t="s">
        <v>180</v>
      </c>
      <c r="F59" s="13" t="s">
        <v>181</v>
      </c>
      <c r="G59" s="14">
        <v>900</v>
      </c>
      <c r="H59" s="14">
        <f t="shared" si="0"/>
        <v>124425</v>
      </c>
      <c r="I59" s="15"/>
      <c r="J59" s="15"/>
      <c r="K59" s="15">
        <f>H59</f>
        <v>124425</v>
      </c>
    </row>
    <row r="60" spans="1:13" ht="22.5" customHeight="1" x14ac:dyDescent="0.2">
      <c r="A60" s="6" t="s">
        <v>182</v>
      </c>
      <c r="B60" s="6" t="s">
        <v>183</v>
      </c>
      <c r="C60" s="7" t="s">
        <v>184</v>
      </c>
      <c r="D60" s="6" t="s">
        <v>118</v>
      </c>
      <c r="E60" s="35" t="s">
        <v>185</v>
      </c>
      <c r="F60" s="35"/>
      <c r="G60" s="8">
        <v>0</v>
      </c>
      <c r="H60" s="8">
        <f t="shared" si="0"/>
        <v>0</v>
      </c>
      <c r="I60" s="9"/>
      <c r="J60" s="9"/>
      <c r="K60" s="9">
        <f>H60</f>
        <v>0</v>
      </c>
      <c r="L60" s="10"/>
      <c r="M60" s="10"/>
    </row>
    <row r="61" spans="1:13" x14ac:dyDescent="0.2">
      <c r="A61" s="11" t="s">
        <v>186</v>
      </c>
      <c r="B61" s="11" t="s">
        <v>19</v>
      </c>
      <c r="C61" s="12" t="s">
        <v>20</v>
      </c>
      <c r="D61" s="11" t="s">
        <v>21</v>
      </c>
      <c r="E61" s="13" t="s">
        <v>187</v>
      </c>
      <c r="F61" s="13" t="s">
        <v>188</v>
      </c>
      <c r="G61" s="14">
        <v>15807.93</v>
      </c>
      <c r="H61" s="14">
        <f t="shared" si="0"/>
        <v>19024521.905545201</v>
      </c>
      <c r="I61" s="15">
        <f>H61</f>
        <v>19024521.905545201</v>
      </c>
      <c r="J61" s="15"/>
      <c r="K61" s="15"/>
    </row>
    <row r="62" spans="1:13" x14ac:dyDescent="0.2">
      <c r="A62" s="16" t="s">
        <v>189</v>
      </c>
      <c r="B62" s="16" t="s">
        <v>25</v>
      </c>
      <c r="C62" s="17" t="s">
        <v>26</v>
      </c>
      <c r="D62" s="16" t="s">
        <v>21</v>
      </c>
      <c r="E62" s="18" t="s">
        <v>190</v>
      </c>
      <c r="F62" s="18" t="s">
        <v>191</v>
      </c>
      <c r="G62" s="8">
        <v>0</v>
      </c>
      <c r="H62" s="8">
        <f t="shared" si="0"/>
        <v>0</v>
      </c>
      <c r="I62" s="9"/>
      <c r="J62" s="9">
        <f t="shared" ref="J62:J69" si="2">H62</f>
        <v>0</v>
      </c>
      <c r="K62" s="9"/>
      <c r="L62" s="10"/>
      <c r="M62" s="10"/>
    </row>
    <row r="63" spans="1:13" x14ac:dyDescent="0.2">
      <c r="A63" s="11" t="s">
        <v>192</v>
      </c>
      <c r="B63" s="11" t="s">
        <v>193</v>
      </c>
      <c r="C63" s="12" t="s">
        <v>194</v>
      </c>
      <c r="D63" s="11" t="s">
        <v>32</v>
      </c>
      <c r="E63" s="13" t="s">
        <v>195</v>
      </c>
      <c r="F63" s="13" t="s">
        <v>196</v>
      </c>
      <c r="G63" s="14">
        <v>54800</v>
      </c>
      <c r="H63" s="14">
        <f t="shared" si="0"/>
        <v>80697.384000000005</v>
      </c>
      <c r="I63" s="15"/>
      <c r="J63" s="15">
        <f t="shared" si="2"/>
        <v>80697.384000000005</v>
      </c>
      <c r="K63" s="15"/>
    </row>
    <row r="64" spans="1:13" x14ac:dyDescent="0.2">
      <c r="A64" s="11" t="s">
        <v>197</v>
      </c>
      <c r="B64" s="11" t="s">
        <v>153</v>
      </c>
      <c r="C64" s="12" t="s">
        <v>154</v>
      </c>
      <c r="D64" s="11" t="s">
        <v>32</v>
      </c>
      <c r="E64" s="13" t="s">
        <v>198</v>
      </c>
      <c r="F64" s="13" t="s">
        <v>199</v>
      </c>
      <c r="G64" s="14">
        <v>580</v>
      </c>
      <c r="H64" s="14">
        <f t="shared" si="0"/>
        <v>33879.157200000001</v>
      </c>
      <c r="I64" s="15"/>
      <c r="J64" s="15">
        <f t="shared" si="2"/>
        <v>33879.157200000001</v>
      </c>
      <c r="K64" s="15"/>
    </row>
    <row r="65" spans="1:13" ht="33.75" customHeight="1" x14ac:dyDescent="0.2">
      <c r="A65" s="11" t="s">
        <v>200</v>
      </c>
      <c r="B65" s="11" t="s">
        <v>158</v>
      </c>
      <c r="C65" s="12" t="s">
        <v>159</v>
      </c>
      <c r="D65" s="11" t="s">
        <v>32</v>
      </c>
      <c r="E65" s="13" t="s">
        <v>201</v>
      </c>
      <c r="F65" s="13" t="s">
        <v>202</v>
      </c>
      <c r="G65" s="14">
        <v>45270</v>
      </c>
      <c r="H65" s="14">
        <f t="shared" si="0"/>
        <v>6434281.2347999997</v>
      </c>
      <c r="I65" s="15"/>
      <c r="J65" s="15">
        <f t="shared" si="2"/>
        <v>6434281.2347999997</v>
      </c>
      <c r="K65" s="15"/>
    </row>
    <row r="66" spans="1:13" ht="33.75" customHeight="1" x14ac:dyDescent="0.2">
      <c r="A66" s="11" t="s">
        <v>203</v>
      </c>
      <c r="B66" s="11" t="s">
        <v>204</v>
      </c>
      <c r="C66" s="12" t="s">
        <v>205</v>
      </c>
      <c r="D66" s="11" t="s">
        <v>32</v>
      </c>
      <c r="E66" s="13" t="s">
        <v>206</v>
      </c>
      <c r="F66" s="13" t="s">
        <v>207</v>
      </c>
      <c r="G66" s="14">
        <v>102000</v>
      </c>
      <c r="H66" s="14">
        <f t="shared" si="0"/>
        <v>545181.84</v>
      </c>
      <c r="I66" s="15"/>
      <c r="J66" s="15">
        <f t="shared" si="2"/>
        <v>545181.84</v>
      </c>
      <c r="K66" s="15"/>
    </row>
    <row r="67" spans="1:13" x14ac:dyDescent="0.2">
      <c r="A67" s="11" t="s">
        <v>208</v>
      </c>
      <c r="B67" s="11" t="s">
        <v>209</v>
      </c>
      <c r="C67" s="12" t="s">
        <v>210</v>
      </c>
      <c r="D67" s="11" t="s">
        <v>32</v>
      </c>
      <c r="E67" s="13" t="s">
        <v>211</v>
      </c>
      <c r="F67" s="13" t="s">
        <v>212</v>
      </c>
      <c r="G67" s="14">
        <v>873</v>
      </c>
      <c r="H67" s="14">
        <f t="shared" si="0"/>
        <v>476.13420000000002</v>
      </c>
      <c r="I67" s="15"/>
      <c r="J67" s="15">
        <f t="shared" si="2"/>
        <v>476.13420000000002</v>
      </c>
      <c r="K67" s="15"/>
    </row>
    <row r="68" spans="1:13" ht="22.5" customHeight="1" x14ac:dyDescent="0.2">
      <c r="A68" s="11" t="s">
        <v>213</v>
      </c>
      <c r="B68" s="11" t="s">
        <v>214</v>
      </c>
      <c r="C68" s="12" t="s">
        <v>215</v>
      </c>
      <c r="D68" s="11" t="s">
        <v>32</v>
      </c>
      <c r="E68" s="13" t="s">
        <v>216</v>
      </c>
      <c r="F68" s="13" t="s">
        <v>217</v>
      </c>
      <c r="G68" s="14">
        <v>3200</v>
      </c>
      <c r="H68" s="14">
        <f t="shared" si="0"/>
        <v>75047.040000000008</v>
      </c>
      <c r="I68" s="15"/>
      <c r="J68" s="15">
        <f t="shared" si="2"/>
        <v>75047.040000000008</v>
      </c>
      <c r="K68" s="15"/>
    </row>
    <row r="69" spans="1:13" ht="22.5" customHeight="1" x14ac:dyDescent="0.2">
      <c r="A69" s="11" t="s">
        <v>218</v>
      </c>
      <c r="B69" s="11" t="s">
        <v>163</v>
      </c>
      <c r="C69" s="12" t="s">
        <v>164</v>
      </c>
      <c r="D69" s="11" t="s">
        <v>32</v>
      </c>
      <c r="E69" s="13" t="s">
        <v>219</v>
      </c>
      <c r="F69" s="13" t="s">
        <v>220</v>
      </c>
      <c r="G69" s="14">
        <v>52621.06</v>
      </c>
      <c r="H69" s="14">
        <f t="shared" si="0"/>
        <v>421883.03402279993</v>
      </c>
      <c r="I69" s="15"/>
      <c r="J69" s="15">
        <f t="shared" si="2"/>
        <v>421883.03402279993</v>
      </c>
      <c r="K69" s="15"/>
    </row>
    <row r="70" spans="1:13" x14ac:dyDescent="0.2">
      <c r="A70" s="11" t="s">
        <v>221</v>
      </c>
      <c r="B70" s="11" t="s">
        <v>168</v>
      </c>
      <c r="C70" s="12" t="s">
        <v>105</v>
      </c>
      <c r="D70" s="11" t="s">
        <v>60</v>
      </c>
      <c r="E70" s="13" t="s">
        <v>222</v>
      </c>
      <c r="F70" s="13" t="s">
        <v>223</v>
      </c>
      <c r="G70" s="14">
        <v>0</v>
      </c>
      <c r="H70" s="14">
        <f t="shared" si="0"/>
        <v>0</v>
      </c>
      <c r="I70" s="15"/>
      <c r="J70" s="15"/>
      <c r="K70" s="15">
        <f t="shared" ref="K70:K79" si="3">H70</f>
        <v>0</v>
      </c>
    </row>
    <row r="71" spans="1:13" x14ac:dyDescent="0.2">
      <c r="A71" s="11" t="s">
        <v>224</v>
      </c>
      <c r="B71" s="11" t="s">
        <v>225</v>
      </c>
      <c r="C71" s="12" t="s">
        <v>226</v>
      </c>
      <c r="D71" s="11" t="s">
        <v>60</v>
      </c>
      <c r="E71" s="13" t="s">
        <v>227</v>
      </c>
      <c r="F71" s="13" t="s">
        <v>228</v>
      </c>
      <c r="G71" s="14">
        <v>400000</v>
      </c>
      <c r="H71" s="14">
        <f t="shared" si="0"/>
        <v>221432400</v>
      </c>
      <c r="I71" s="15"/>
      <c r="J71" s="15"/>
      <c r="K71" s="15">
        <f t="shared" si="3"/>
        <v>221432400</v>
      </c>
    </row>
    <row r="72" spans="1:13" x14ac:dyDescent="0.2">
      <c r="A72" s="11" t="s">
        <v>229</v>
      </c>
      <c r="B72" s="11" t="s">
        <v>230</v>
      </c>
      <c r="C72" s="12" t="s">
        <v>231</v>
      </c>
      <c r="D72" s="11" t="s">
        <v>43</v>
      </c>
      <c r="E72" s="13" t="s">
        <v>232</v>
      </c>
      <c r="F72" s="13" t="s">
        <v>233</v>
      </c>
      <c r="G72" s="14">
        <v>8200000</v>
      </c>
      <c r="H72" s="14">
        <f t="shared" si="0"/>
        <v>89445.599999999991</v>
      </c>
      <c r="I72" s="15"/>
      <c r="J72" s="15"/>
      <c r="K72" s="15">
        <f t="shared" si="3"/>
        <v>89445.599999999991</v>
      </c>
    </row>
    <row r="73" spans="1:13" ht="22.5" customHeight="1" x14ac:dyDescent="0.2">
      <c r="A73" s="11" t="s">
        <v>234</v>
      </c>
      <c r="B73" s="11" t="s">
        <v>235</v>
      </c>
      <c r="C73" s="12" t="s">
        <v>236</v>
      </c>
      <c r="D73" s="11" t="s">
        <v>43</v>
      </c>
      <c r="E73" s="13" t="s">
        <v>237</v>
      </c>
      <c r="F73" s="13" t="s">
        <v>238</v>
      </c>
      <c r="G73" s="14">
        <v>650000</v>
      </c>
      <c r="H73" s="14">
        <f t="shared" si="0"/>
        <v>35451</v>
      </c>
      <c r="I73" s="15"/>
      <c r="J73" s="15"/>
      <c r="K73" s="15">
        <f t="shared" si="3"/>
        <v>35451</v>
      </c>
    </row>
    <row r="74" spans="1:13" ht="22.5" customHeight="1" x14ac:dyDescent="0.2">
      <c r="A74" s="11" t="s">
        <v>239</v>
      </c>
      <c r="B74" s="11" t="s">
        <v>240</v>
      </c>
      <c r="C74" s="12" t="s">
        <v>241</v>
      </c>
      <c r="D74" s="11" t="s">
        <v>43</v>
      </c>
      <c r="E74" s="13" t="s">
        <v>242</v>
      </c>
      <c r="F74" s="13" t="s">
        <v>243</v>
      </c>
      <c r="G74" s="14">
        <v>7200000</v>
      </c>
      <c r="H74" s="14">
        <f t="shared" si="0"/>
        <v>400541.76</v>
      </c>
      <c r="I74" s="15"/>
      <c r="J74" s="15"/>
      <c r="K74" s="15">
        <f t="shared" si="3"/>
        <v>400541.76</v>
      </c>
    </row>
    <row r="75" spans="1:13" x14ac:dyDescent="0.2">
      <c r="A75" s="11" t="s">
        <v>244</v>
      </c>
      <c r="B75" s="11" t="s">
        <v>245</v>
      </c>
      <c r="C75" s="12" t="s">
        <v>246</v>
      </c>
      <c r="D75" s="11" t="s">
        <v>43</v>
      </c>
      <c r="E75" s="13" t="s">
        <v>247</v>
      </c>
      <c r="F75" s="13" t="s">
        <v>248</v>
      </c>
      <c r="G75" s="14">
        <v>10300000</v>
      </c>
      <c r="H75" s="14">
        <f t="shared" si="0"/>
        <v>280881</v>
      </c>
      <c r="I75" s="15"/>
      <c r="J75" s="15"/>
      <c r="K75" s="15">
        <f t="shared" si="3"/>
        <v>280881</v>
      </c>
    </row>
    <row r="76" spans="1:13" x14ac:dyDescent="0.2">
      <c r="A76" s="11" t="s">
        <v>249</v>
      </c>
      <c r="B76" s="11" t="s">
        <v>177</v>
      </c>
      <c r="C76" s="12" t="s">
        <v>178</v>
      </c>
      <c r="D76" s="11" t="s">
        <v>179</v>
      </c>
      <c r="E76" s="13" t="s">
        <v>250</v>
      </c>
      <c r="F76" s="13" t="s">
        <v>251</v>
      </c>
      <c r="G76" s="14">
        <v>900</v>
      </c>
      <c r="H76" s="14">
        <f t="shared" si="0"/>
        <v>147258</v>
      </c>
      <c r="I76" s="15"/>
      <c r="J76" s="15"/>
      <c r="K76" s="15">
        <f t="shared" si="3"/>
        <v>147258</v>
      </c>
    </row>
    <row r="77" spans="1:13" ht="33.75" customHeight="1" x14ac:dyDescent="0.2">
      <c r="A77" s="11" t="s">
        <v>252</v>
      </c>
      <c r="B77" s="11" t="s">
        <v>253</v>
      </c>
      <c r="C77" s="12" t="s">
        <v>254</v>
      </c>
      <c r="D77" s="11" t="s">
        <v>60</v>
      </c>
      <c r="E77" s="13" t="s">
        <v>255</v>
      </c>
      <c r="F77" s="13" t="s">
        <v>256</v>
      </c>
      <c r="G77" s="14">
        <v>2000000</v>
      </c>
      <c r="H77" s="14">
        <f t="shared" si="0"/>
        <v>436320</v>
      </c>
      <c r="I77" s="15"/>
      <c r="J77" s="15"/>
      <c r="K77" s="15">
        <f t="shared" si="3"/>
        <v>436320</v>
      </c>
    </row>
    <row r="78" spans="1:13" x14ac:dyDescent="0.2">
      <c r="A78" s="11" t="s">
        <v>257</v>
      </c>
      <c r="B78" s="11" t="s">
        <v>258</v>
      </c>
      <c r="C78" s="12" t="s">
        <v>259</v>
      </c>
      <c r="D78" s="11" t="s">
        <v>179</v>
      </c>
      <c r="E78" s="13" t="s">
        <v>260</v>
      </c>
      <c r="F78" s="13" t="s">
        <v>261</v>
      </c>
      <c r="G78" s="14">
        <v>39000</v>
      </c>
      <c r="H78" s="14">
        <f t="shared" si="0"/>
        <v>765741.6</v>
      </c>
      <c r="I78" s="15"/>
      <c r="J78" s="15"/>
      <c r="K78" s="15">
        <f t="shared" si="3"/>
        <v>765741.6</v>
      </c>
    </row>
    <row r="79" spans="1:13" ht="33.75" customHeight="1" x14ac:dyDescent="0.2">
      <c r="A79" s="6" t="s">
        <v>262</v>
      </c>
      <c r="B79" s="6" t="s">
        <v>263</v>
      </c>
      <c r="C79" s="7" t="s">
        <v>264</v>
      </c>
      <c r="D79" s="6" t="s">
        <v>43</v>
      </c>
      <c r="E79" s="35" t="s">
        <v>265</v>
      </c>
      <c r="F79" s="35"/>
      <c r="G79" s="8">
        <v>0</v>
      </c>
      <c r="H79" s="8">
        <f t="shared" si="0"/>
        <v>0</v>
      </c>
      <c r="I79" s="9"/>
      <c r="J79" s="9"/>
      <c r="K79" s="9">
        <f t="shared" si="3"/>
        <v>0</v>
      </c>
      <c r="L79" s="10"/>
      <c r="M79" s="10"/>
    </row>
    <row r="80" spans="1:13" ht="22.5" customHeight="1" x14ac:dyDescent="0.2">
      <c r="A80" s="11" t="s">
        <v>266</v>
      </c>
      <c r="B80" s="11" t="s">
        <v>19</v>
      </c>
      <c r="C80" s="12" t="s">
        <v>20</v>
      </c>
      <c r="D80" s="11" t="s">
        <v>21</v>
      </c>
      <c r="E80" s="13" t="s">
        <v>267</v>
      </c>
      <c r="F80" s="13" t="s">
        <v>268</v>
      </c>
      <c r="G80" s="14">
        <v>15807.93</v>
      </c>
      <c r="H80" s="14">
        <f t="shared" ref="H80:H143" si="4">IF(ISNUMBER(G80),IF(F80="",E80*G80,F80*G80),0)</f>
        <v>16379204.789780591</v>
      </c>
      <c r="I80" s="15">
        <f>H80</f>
        <v>16379204.789780591</v>
      </c>
      <c r="J80" s="15"/>
      <c r="K80" s="15"/>
    </row>
    <row r="81" spans="1:13" x14ac:dyDescent="0.2">
      <c r="A81" s="16" t="s">
        <v>269</v>
      </c>
      <c r="B81" s="16" t="s">
        <v>25</v>
      </c>
      <c r="C81" s="17" t="s">
        <v>26</v>
      </c>
      <c r="D81" s="16" t="s">
        <v>21</v>
      </c>
      <c r="E81" s="18" t="s">
        <v>270</v>
      </c>
      <c r="F81" s="18" t="s">
        <v>271</v>
      </c>
      <c r="G81" s="8">
        <v>0</v>
      </c>
      <c r="H81" s="8">
        <f t="shared" si="4"/>
        <v>0</v>
      </c>
      <c r="I81" s="9"/>
      <c r="J81" s="9">
        <f t="shared" ref="J81:J88" si="5">H81</f>
        <v>0</v>
      </c>
      <c r="K81" s="9"/>
      <c r="L81" s="10"/>
      <c r="M81" s="10"/>
    </row>
    <row r="82" spans="1:13" x14ac:dyDescent="0.2">
      <c r="A82" s="11" t="s">
        <v>272</v>
      </c>
      <c r="B82" s="11" t="s">
        <v>193</v>
      </c>
      <c r="C82" s="12" t="s">
        <v>194</v>
      </c>
      <c r="D82" s="11" t="s">
        <v>32</v>
      </c>
      <c r="E82" s="13" t="s">
        <v>206</v>
      </c>
      <c r="F82" s="13" t="s">
        <v>273</v>
      </c>
      <c r="G82" s="14">
        <v>54800</v>
      </c>
      <c r="H82" s="14">
        <f t="shared" si="4"/>
        <v>705435.87352000002</v>
      </c>
      <c r="I82" s="15"/>
      <c r="J82" s="15">
        <f t="shared" si="5"/>
        <v>705435.87352000002</v>
      </c>
      <c r="K82" s="15"/>
    </row>
    <row r="83" spans="1:13" ht="33.75" customHeight="1" x14ac:dyDescent="0.2">
      <c r="A83" s="11" t="s">
        <v>274</v>
      </c>
      <c r="B83" s="11" t="s">
        <v>158</v>
      </c>
      <c r="C83" s="12" t="s">
        <v>159</v>
      </c>
      <c r="D83" s="11" t="s">
        <v>32</v>
      </c>
      <c r="E83" s="13" t="s">
        <v>275</v>
      </c>
      <c r="F83" s="13" t="s">
        <v>276</v>
      </c>
      <c r="G83" s="14">
        <v>45270</v>
      </c>
      <c r="H83" s="14">
        <f t="shared" si="4"/>
        <v>83250.995813999994</v>
      </c>
      <c r="I83" s="15"/>
      <c r="J83" s="15">
        <f t="shared" si="5"/>
        <v>83250.995813999994</v>
      </c>
      <c r="K83" s="15"/>
    </row>
    <row r="84" spans="1:13" x14ac:dyDescent="0.2">
      <c r="A84" s="11" t="s">
        <v>277</v>
      </c>
      <c r="B84" s="11" t="s">
        <v>278</v>
      </c>
      <c r="C84" s="12" t="s">
        <v>279</v>
      </c>
      <c r="D84" s="11" t="s">
        <v>32</v>
      </c>
      <c r="E84" s="13" t="s">
        <v>280</v>
      </c>
      <c r="F84" s="13" t="s">
        <v>281</v>
      </c>
      <c r="G84" s="14">
        <v>637.55999999999995</v>
      </c>
      <c r="H84" s="14">
        <f t="shared" si="4"/>
        <v>1004.9702715359999</v>
      </c>
      <c r="I84" s="15"/>
      <c r="J84" s="15">
        <f t="shared" si="5"/>
        <v>1004.9702715359999</v>
      </c>
      <c r="K84" s="15"/>
    </row>
    <row r="85" spans="1:13" x14ac:dyDescent="0.2">
      <c r="A85" s="11" t="s">
        <v>282</v>
      </c>
      <c r="B85" s="11" t="s">
        <v>283</v>
      </c>
      <c r="C85" s="12" t="s">
        <v>284</v>
      </c>
      <c r="D85" s="11" t="s">
        <v>32</v>
      </c>
      <c r="E85" s="13" t="s">
        <v>285</v>
      </c>
      <c r="F85" s="13" t="s">
        <v>286</v>
      </c>
      <c r="G85" s="14">
        <v>650</v>
      </c>
      <c r="H85" s="14">
        <f t="shared" si="4"/>
        <v>11953.4233</v>
      </c>
      <c r="I85" s="15"/>
      <c r="J85" s="15">
        <f t="shared" si="5"/>
        <v>11953.4233</v>
      </c>
      <c r="K85" s="15"/>
    </row>
    <row r="86" spans="1:13" ht="22.5" customHeight="1" x14ac:dyDescent="0.2">
      <c r="A86" s="11" t="s">
        <v>287</v>
      </c>
      <c r="B86" s="11" t="s">
        <v>288</v>
      </c>
      <c r="C86" s="12" t="s">
        <v>289</v>
      </c>
      <c r="D86" s="11" t="s">
        <v>32</v>
      </c>
      <c r="E86" s="13" t="s">
        <v>165</v>
      </c>
      <c r="F86" s="13" t="s">
        <v>290</v>
      </c>
      <c r="G86" s="14">
        <v>25650</v>
      </c>
      <c r="H86" s="14">
        <f t="shared" si="4"/>
        <v>43800.758235000001</v>
      </c>
      <c r="I86" s="15"/>
      <c r="J86" s="15">
        <f t="shared" si="5"/>
        <v>43800.758235000001</v>
      </c>
      <c r="K86" s="15"/>
    </row>
    <row r="87" spans="1:13" x14ac:dyDescent="0.2">
      <c r="A87" s="11" t="s">
        <v>291</v>
      </c>
      <c r="B87" s="11" t="s">
        <v>292</v>
      </c>
      <c r="C87" s="12" t="s">
        <v>293</v>
      </c>
      <c r="D87" s="11" t="s">
        <v>32</v>
      </c>
      <c r="E87" s="13" t="s">
        <v>294</v>
      </c>
      <c r="F87" s="13" t="s">
        <v>295</v>
      </c>
      <c r="G87" s="14">
        <v>874.37</v>
      </c>
      <c r="H87" s="14">
        <f t="shared" si="4"/>
        <v>9877.4446906659996</v>
      </c>
      <c r="I87" s="15"/>
      <c r="J87" s="15">
        <f t="shared" si="5"/>
        <v>9877.4446906659996</v>
      </c>
      <c r="K87" s="15"/>
    </row>
    <row r="88" spans="1:13" x14ac:dyDescent="0.2">
      <c r="A88" s="11" t="s">
        <v>296</v>
      </c>
      <c r="B88" s="11" t="s">
        <v>297</v>
      </c>
      <c r="C88" s="12" t="s">
        <v>298</v>
      </c>
      <c r="D88" s="11" t="s">
        <v>32</v>
      </c>
      <c r="E88" s="13" t="s">
        <v>299</v>
      </c>
      <c r="F88" s="13" t="s">
        <v>300</v>
      </c>
      <c r="G88" s="14">
        <v>645</v>
      </c>
      <c r="H88" s="14">
        <f t="shared" si="4"/>
        <v>17792.210835000002</v>
      </c>
      <c r="I88" s="15"/>
      <c r="J88" s="15">
        <f t="shared" si="5"/>
        <v>17792.210835000002</v>
      </c>
      <c r="K88" s="15"/>
    </row>
    <row r="89" spans="1:13" x14ac:dyDescent="0.2">
      <c r="A89" s="11" t="s">
        <v>301</v>
      </c>
      <c r="B89" s="11" t="s">
        <v>302</v>
      </c>
      <c r="C89" s="12" t="s">
        <v>303</v>
      </c>
      <c r="D89" s="11" t="s">
        <v>60</v>
      </c>
      <c r="E89" s="13" t="s">
        <v>304</v>
      </c>
      <c r="F89" s="13" t="s">
        <v>305</v>
      </c>
      <c r="G89" s="14">
        <v>4500</v>
      </c>
      <c r="H89" s="14">
        <f t="shared" si="4"/>
        <v>153686.87100000001</v>
      </c>
      <c r="I89" s="15"/>
      <c r="J89" s="15"/>
      <c r="K89" s="15">
        <f t="shared" ref="K89:K96" si="6">H89</f>
        <v>153686.87100000001</v>
      </c>
    </row>
    <row r="90" spans="1:13" x14ac:dyDescent="0.2">
      <c r="A90" s="11" t="s">
        <v>306</v>
      </c>
      <c r="B90" s="11" t="s">
        <v>307</v>
      </c>
      <c r="C90" s="12" t="s">
        <v>308</v>
      </c>
      <c r="D90" s="11" t="s">
        <v>43</v>
      </c>
      <c r="E90" s="13" t="s">
        <v>309</v>
      </c>
      <c r="F90" s="13" t="s">
        <v>310</v>
      </c>
      <c r="G90" s="14">
        <v>5941000</v>
      </c>
      <c r="H90" s="14">
        <f t="shared" si="4"/>
        <v>546271.44481000002</v>
      </c>
      <c r="I90" s="15"/>
      <c r="J90" s="15"/>
      <c r="K90" s="15">
        <f t="shared" si="6"/>
        <v>546271.44481000002</v>
      </c>
    </row>
    <row r="91" spans="1:13" x14ac:dyDescent="0.2">
      <c r="A91" s="11" t="s">
        <v>311</v>
      </c>
      <c r="B91" s="11" t="s">
        <v>312</v>
      </c>
      <c r="C91" s="12" t="s">
        <v>313</v>
      </c>
      <c r="D91" s="11" t="s">
        <v>314</v>
      </c>
      <c r="E91" s="13" t="s">
        <v>315</v>
      </c>
      <c r="F91" s="13" t="s">
        <v>316</v>
      </c>
      <c r="G91" s="14">
        <v>6500</v>
      </c>
      <c r="H91" s="14">
        <f t="shared" si="4"/>
        <v>42690.797500000001</v>
      </c>
      <c r="I91" s="15"/>
      <c r="J91" s="15"/>
      <c r="K91" s="15">
        <f t="shared" si="6"/>
        <v>42690.797500000001</v>
      </c>
    </row>
    <row r="92" spans="1:13" x14ac:dyDescent="0.2">
      <c r="A92" s="11" t="s">
        <v>317</v>
      </c>
      <c r="B92" s="11" t="s">
        <v>318</v>
      </c>
      <c r="C92" s="12" t="s">
        <v>319</v>
      </c>
      <c r="D92" s="11" t="s">
        <v>320</v>
      </c>
      <c r="E92" s="13" t="s">
        <v>321</v>
      </c>
      <c r="F92" s="13" t="s">
        <v>322</v>
      </c>
      <c r="G92" s="14">
        <v>3200</v>
      </c>
      <c r="H92" s="14">
        <f t="shared" si="4"/>
        <v>75661.228799999997</v>
      </c>
      <c r="I92" s="15"/>
      <c r="J92" s="15"/>
      <c r="K92" s="15">
        <f t="shared" si="6"/>
        <v>75661.228799999997</v>
      </c>
    </row>
    <row r="93" spans="1:13" ht="33.75" customHeight="1" x14ac:dyDescent="0.2">
      <c r="A93" s="19" t="s">
        <v>323</v>
      </c>
      <c r="B93" s="19" t="s">
        <v>324</v>
      </c>
      <c r="C93" s="20" t="s">
        <v>325</v>
      </c>
      <c r="D93" s="19" t="s">
        <v>43</v>
      </c>
      <c r="E93" s="36" t="s">
        <v>326</v>
      </c>
      <c r="F93" s="36"/>
      <c r="G93" s="14">
        <v>4600000</v>
      </c>
      <c r="H93" s="14">
        <f t="shared" si="4"/>
        <v>61632364</v>
      </c>
      <c r="I93" s="15"/>
      <c r="J93" s="15"/>
      <c r="K93" s="15">
        <f t="shared" si="6"/>
        <v>61632364</v>
      </c>
    </row>
    <row r="94" spans="1:13" ht="12.75" customHeight="1" x14ac:dyDescent="0.2">
      <c r="A94" s="37"/>
      <c r="B94" s="37"/>
      <c r="C94" s="37"/>
      <c r="D94" s="37"/>
      <c r="E94" s="37"/>
      <c r="F94" s="37"/>
      <c r="G94" s="14"/>
      <c r="H94" s="14">
        <f t="shared" si="4"/>
        <v>0</v>
      </c>
      <c r="I94" s="15"/>
      <c r="J94" s="15"/>
      <c r="K94" s="15">
        <f t="shared" si="6"/>
        <v>0</v>
      </c>
    </row>
    <row r="95" spans="1:13" ht="12.75" customHeight="1" x14ac:dyDescent="0.2">
      <c r="A95" s="37" t="s">
        <v>327</v>
      </c>
      <c r="B95" s="37"/>
      <c r="C95" s="37"/>
      <c r="D95" s="37"/>
      <c r="E95" s="37"/>
      <c r="F95" s="37"/>
      <c r="G95" s="14"/>
      <c r="H95" s="14">
        <f t="shared" si="4"/>
        <v>0</v>
      </c>
      <c r="I95" s="15"/>
      <c r="J95" s="15"/>
      <c r="K95" s="15">
        <f t="shared" si="6"/>
        <v>0</v>
      </c>
    </row>
    <row r="96" spans="1:13" ht="33.75" customHeight="1" x14ac:dyDescent="0.2">
      <c r="A96" s="6" t="s">
        <v>328</v>
      </c>
      <c r="B96" s="6" t="s">
        <v>263</v>
      </c>
      <c r="C96" s="7" t="s">
        <v>264</v>
      </c>
      <c r="D96" s="6" t="s">
        <v>43</v>
      </c>
      <c r="E96" s="35" t="s">
        <v>329</v>
      </c>
      <c r="F96" s="35"/>
      <c r="G96" s="8">
        <v>0</v>
      </c>
      <c r="H96" s="8">
        <f t="shared" si="4"/>
        <v>0</v>
      </c>
      <c r="I96" s="9"/>
      <c r="J96" s="9"/>
      <c r="K96" s="9">
        <f t="shared" si="6"/>
        <v>0</v>
      </c>
      <c r="L96" s="10"/>
      <c r="M96" s="10"/>
    </row>
    <row r="97" spans="1:13" ht="22.5" customHeight="1" x14ac:dyDescent="0.2">
      <c r="A97" s="11" t="s">
        <v>330</v>
      </c>
      <c r="B97" s="11" t="s">
        <v>19</v>
      </c>
      <c r="C97" s="12" t="s">
        <v>20</v>
      </c>
      <c r="D97" s="11" t="s">
        <v>21</v>
      </c>
      <c r="E97" s="13" t="s">
        <v>267</v>
      </c>
      <c r="F97" s="13" t="s">
        <v>331</v>
      </c>
      <c r="G97" s="14">
        <v>15807.93</v>
      </c>
      <c r="H97" s="14">
        <f t="shared" si="4"/>
        <v>5966757.2542669438</v>
      </c>
      <c r="I97" s="15">
        <f>H97</f>
        <v>5966757.2542669438</v>
      </c>
      <c r="J97" s="15"/>
      <c r="K97" s="15"/>
    </row>
    <row r="98" spans="1:13" x14ac:dyDescent="0.2">
      <c r="A98" s="16" t="s">
        <v>332</v>
      </c>
      <c r="B98" s="16" t="s">
        <v>25</v>
      </c>
      <c r="C98" s="17" t="s">
        <v>26</v>
      </c>
      <c r="D98" s="16" t="s">
        <v>21</v>
      </c>
      <c r="E98" s="18" t="s">
        <v>270</v>
      </c>
      <c r="F98" s="18" t="s">
        <v>333</v>
      </c>
      <c r="G98" s="8">
        <v>0</v>
      </c>
      <c r="H98" s="8">
        <f t="shared" si="4"/>
        <v>0</v>
      </c>
      <c r="I98" s="9"/>
      <c r="J98" s="9">
        <f t="shared" ref="J98:J105" si="7">H98</f>
        <v>0</v>
      </c>
      <c r="K98" s="9"/>
      <c r="L98" s="10"/>
      <c r="M98" s="10"/>
    </row>
    <row r="99" spans="1:13" x14ac:dyDescent="0.2">
      <c r="A99" s="11" t="s">
        <v>334</v>
      </c>
      <c r="B99" s="11" t="s">
        <v>193</v>
      </c>
      <c r="C99" s="12" t="s">
        <v>194</v>
      </c>
      <c r="D99" s="11" t="s">
        <v>32</v>
      </c>
      <c r="E99" s="13" t="s">
        <v>206</v>
      </c>
      <c r="F99" s="13" t="s">
        <v>335</v>
      </c>
      <c r="G99" s="14">
        <v>54800</v>
      </c>
      <c r="H99" s="14">
        <f t="shared" si="4"/>
        <v>256982.23264000003</v>
      </c>
      <c r="I99" s="15"/>
      <c r="J99" s="15">
        <f t="shared" si="7"/>
        <v>256982.23264000003</v>
      </c>
      <c r="K99" s="15"/>
    </row>
    <row r="100" spans="1:13" ht="33.75" customHeight="1" x14ac:dyDescent="0.2">
      <c r="A100" s="11" t="s">
        <v>336</v>
      </c>
      <c r="B100" s="11" t="s">
        <v>158</v>
      </c>
      <c r="C100" s="12" t="s">
        <v>159</v>
      </c>
      <c r="D100" s="11" t="s">
        <v>32</v>
      </c>
      <c r="E100" s="13" t="s">
        <v>275</v>
      </c>
      <c r="F100" s="13" t="s">
        <v>337</v>
      </c>
      <c r="G100" s="14">
        <v>45270</v>
      </c>
      <c r="H100" s="14">
        <f t="shared" si="4"/>
        <v>30327.387048000001</v>
      </c>
      <c r="I100" s="15"/>
      <c r="J100" s="15">
        <f t="shared" si="7"/>
        <v>30327.387048000001</v>
      </c>
      <c r="K100" s="15"/>
    </row>
    <row r="101" spans="1:13" x14ac:dyDescent="0.2">
      <c r="A101" s="11" t="s">
        <v>338</v>
      </c>
      <c r="B101" s="11" t="s">
        <v>278</v>
      </c>
      <c r="C101" s="12" t="s">
        <v>279</v>
      </c>
      <c r="D101" s="11" t="s">
        <v>32</v>
      </c>
      <c r="E101" s="13" t="s">
        <v>280</v>
      </c>
      <c r="F101" s="13" t="s">
        <v>339</v>
      </c>
      <c r="G101" s="14">
        <v>637.55999999999995</v>
      </c>
      <c r="H101" s="14">
        <f t="shared" si="4"/>
        <v>366.099193152</v>
      </c>
      <c r="I101" s="15"/>
      <c r="J101" s="15">
        <f t="shared" si="7"/>
        <v>366.099193152</v>
      </c>
      <c r="K101" s="15"/>
    </row>
    <row r="102" spans="1:13" x14ac:dyDescent="0.2">
      <c r="A102" s="11" t="s">
        <v>340</v>
      </c>
      <c r="B102" s="11" t="s">
        <v>283</v>
      </c>
      <c r="C102" s="12" t="s">
        <v>284</v>
      </c>
      <c r="D102" s="11" t="s">
        <v>32</v>
      </c>
      <c r="E102" s="13" t="s">
        <v>285</v>
      </c>
      <c r="F102" s="13" t="s">
        <v>341</v>
      </c>
      <c r="G102" s="14">
        <v>650</v>
      </c>
      <c r="H102" s="14">
        <f t="shared" si="4"/>
        <v>4354.4956000000002</v>
      </c>
      <c r="I102" s="15"/>
      <c r="J102" s="15">
        <f t="shared" si="7"/>
        <v>4354.4956000000002</v>
      </c>
      <c r="K102" s="15"/>
    </row>
    <row r="103" spans="1:13" ht="22.5" customHeight="1" x14ac:dyDescent="0.2">
      <c r="A103" s="11" t="s">
        <v>342</v>
      </c>
      <c r="B103" s="11" t="s">
        <v>288</v>
      </c>
      <c r="C103" s="12" t="s">
        <v>289</v>
      </c>
      <c r="D103" s="11" t="s">
        <v>32</v>
      </c>
      <c r="E103" s="13" t="s">
        <v>165</v>
      </c>
      <c r="F103" s="13" t="s">
        <v>343</v>
      </c>
      <c r="G103" s="14">
        <v>25650</v>
      </c>
      <c r="H103" s="14">
        <f t="shared" si="4"/>
        <v>15956.116020000001</v>
      </c>
      <c r="I103" s="15"/>
      <c r="J103" s="15">
        <f t="shared" si="7"/>
        <v>15956.116020000001</v>
      </c>
      <c r="K103" s="15"/>
    </row>
    <row r="104" spans="1:13" x14ac:dyDescent="0.2">
      <c r="A104" s="11" t="s">
        <v>344</v>
      </c>
      <c r="B104" s="11" t="s">
        <v>292</v>
      </c>
      <c r="C104" s="12" t="s">
        <v>293</v>
      </c>
      <c r="D104" s="11" t="s">
        <v>32</v>
      </c>
      <c r="E104" s="13" t="s">
        <v>294</v>
      </c>
      <c r="F104" s="13" t="s">
        <v>345</v>
      </c>
      <c r="G104" s="14">
        <v>874.37</v>
      </c>
      <c r="H104" s="14">
        <f t="shared" si="4"/>
        <v>3598.2403003120003</v>
      </c>
      <c r="I104" s="15"/>
      <c r="J104" s="15">
        <f t="shared" si="7"/>
        <v>3598.2403003120003</v>
      </c>
      <c r="K104" s="15"/>
    </row>
    <row r="105" spans="1:13" x14ac:dyDescent="0.2">
      <c r="A105" s="11" t="s">
        <v>346</v>
      </c>
      <c r="B105" s="11" t="s">
        <v>297</v>
      </c>
      <c r="C105" s="12" t="s">
        <v>298</v>
      </c>
      <c r="D105" s="11" t="s">
        <v>32</v>
      </c>
      <c r="E105" s="13" t="s">
        <v>299</v>
      </c>
      <c r="F105" s="13" t="s">
        <v>347</v>
      </c>
      <c r="G105" s="14">
        <v>645</v>
      </c>
      <c r="H105" s="14">
        <f t="shared" si="4"/>
        <v>6481.4992199999997</v>
      </c>
      <c r="I105" s="15"/>
      <c r="J105" s="15">
        <f t="shared" si="7"/>
        <v>6481.4992199999997</v>
      </c>
      <c r="K105" s="15"/>
    </row>
    <row r="106" spans="1:13" x14ac:dyDescent="0.2">
      <c r="A106" s="11" t="s">
        <v>348</v>
      </c>
      <c r="B106" s="11" t="s">
        <v>302</v>
      </c>
      <c r="C106" s="12" t="s">
        <v>303</v>
      </c>
      <c r="D106" s="11" t="s">
        <v>60</v>
      </c>
      <c r="E106" s="13" t="s">
        <v>304</v>
      </c>
      <c r="F106" s="13" t="s">
        <v>349</v>
      </c>
      <c r="G106" s="14">
        <v>4500</v>
      </c>
      <c r="H106" s="14">
        <f t="shared" si="4"/>
        <v>55986.372000000003</v>
      </c>
      <c r="I106" s="15"/>
      <c r="J106" s="15"/>
      <c r="K106" s="15">
        <f t="shared" ref="K106:K114" si="8">H106</f>
        <v>55986.372000000003</v>
      </c>
    </row>
    <row r="107" spans="1:13" x14ac:dyDescent="0.2">
      <c r="A107" s="11" t="s">
        <v>350</v>
      </c>
      <c r="B107" s="11" t="s">
        <v>307</v>
      </c>
      <c r="C107" s="12" t="s">
        <v>308</v>
      </c>
      <c r="D107" s="11" t="s">
        <v>43</v>
      </c>
      <c r="E107" s="13" t="s">
        <v>309</v>
      </c>
      <c r="F107" s="13" t="s">
        <v>351</v>
      </c>
      <c r="G107" s="14">
        <v>5941000</v>
      </c>
      <c r="H107" s="14">
        <f t="shared" si="4"/>
        <v>199000.44892</v>
      </c>
      <c r="I107" s="15"/>
      <c r="J107" s="15"/>
      <c r="K107" s="15">
        <f t="shared" si="8"/>
        <v>199000.44892</v>
      </c>
    </row>
    <row r="108" spans="1:13" x14ac:dyDescent="0.2">
      <c r="A108" s="11" t="s">
        <v>352</v>
      </c>
      <c r="B108" s="11" t="s">
        <v>312</v>
      </c>
      <c r="C108" s="12" t="s">
        <v>313</v>
      </c>
      <c r="D108" s="11" t="s">
        <v>314</v>
      </c>
      <c r="E108" s="13" t="s">
        <v>315</v>
      </c>
      <c r="F108" s="13" t="s">
        <v>353</v>
      </c>
      <c r="G108" s="14">
        <v>6500</v>
      </c>
      <c r="H108" s="14">
        <f t="shared" si="4"/>
        <v>15551.77</v>
      </c>
      <c r="I108" s="15"/>
      <c r="J108" s="15"/>
      <c r="K108" s="15">
        <f t="shared" si="8"/>
        <v>15551.77</v>
      </c>
    </row>
    <row r="109" spans="1:13" x14ac:dyDescent="0.2">
      <c r="A109" s="11" t="s">
        <v>354</v>
      </c>
      <c r="B109" s="11" t="s">
        <v>318</v>
      </c>
      <c r="C109" s="12" t="s">
        <v>319</v>
      </c>
      <c r="D109" s="11" t="s">
        <v>320</v>
      </c>
      <c r="E109" s="13" t="s">
        <v>321</v>
      </c>
      <c r="F109" s="13" t="s">
        <v>355</v>
      </c>
      <c r="G109" s="14">
        <v>3200</v>
      </c>
      <c r="H109" s="14">
        <f t="shared" si="4"/>
        <v>27562.521600000004</v>
      </c>
      <c r="I109" s="15"/>
      <c r="J109" s="15"/>
      <c r="K109" s="15">
        <f t="shared" si="8"/>
        <v>27562.521600000004</v>
      </c>
    </row>
    <row r="110" spans="1:13" ht="33.75" customHeight="1" x14ac:dyDescent="0.2">
      <c r="A110" s="19" t="s">
        <v>356</v>
      </c>
      <c r="B110" s="19" t="s">
        <v>357</v>
      </c>
      <c r="C110" s="20" t="s">
        <v>358</v>
      </c>
      <c r="D110" s="19" t="s">
        <v>43</v>
      </c>
      <c r="E110" s="36" t="s">
        <v>359</v>
      </c>
      <c r="F110" s="36"/>
      <c r="G110" s="14">
        <v>4600000</v>
      </c>
      <c r="H110" s="14">
        <f t="shared" si="4"/>
        <v>18681658</v>
      </c>
      <c r="I110" s="15"/>
      <c r="J110" s="15"/>
      <c r="K110" s="15">
        <f t="shared" si="8"/>
        <v>18681658</v>
      </c>
    </row>
    <row r="111" spans="1:13" ht="33.75" customHeight="1" x14ac:dyDescent="0.2">
      <c r="A111" s="19" t="s">
        <v>360</v>
      </c>
      <c r="B111" s="19" t="s">
        <v>361</v>
      </c>
      <c r="C111" s="20" t="s">
        <v>362</v>
      </c>
      <c r="D111" s="19" t="s">
        <v>43</v>
      </c>
      <c r="E111" s="36" t="s">
        <v>363</v>
      </c>
      <c r="F111" s="36"/>
      <c r="G111" s="14">
        <v>4600000</v>
      </c>
      <c r="H111" s="14">
        <f t="shared" si="4"/>
        <v>3770298</v>
      </c>
      <c r="I111" s="15"/>
      <c r="J111" s="15"/>
      <c r="K111" s="15">
        <f t="shared" si="8"/>
        <v>3770298</v>
      </c>
    </row>
    <row r="112" spans="1:13" ht="12.75" customHeight="1" x14ac:dyDescent="0.2">
      <c r="A112" s="37"/>
      <c r="B112" s="37"/>
      <c r="C112" s="37"/>
      <c r="D112" s="37"/>
      <c r="E112" s="37"/>
      <c r="F112" s="37"/>
      <c r="G112" s="14"/>
      <c r="H112" s="14">
        <f t="shared" si="4"/>
        <v>0</v>
      </c>
      <c r="I112" s="15"/>
      <c r="J112" s="15"/>
      <c r="K112" s="15">
        <f t="shared" si="8"/>
        <v>0</v>
      </c>
    </row>
    <row r="113" spans="1:13" ht="12.75" customHeight="1" x14ac:dyDescent="0.2">
      <c r="A113" s="37" t="s">
        <v>364</v>
      </c>
      <c r="B113" s="37"/>
      <c r="C113" s="37"/>
      <c r="D113" s="37"/>
      <c r="E113" s="37"/>
      <c r="F113" s="37"/>
      <c r="G113" s="14"/>
      <c r="H113" s="14">
        <f t="shared" si="4"/>
        <v>0</v>
      </c>
      <c r="I113" s="15"/>
      <c r="J113" s="15"/>
      <c r="K113" s="15">
        <f t="shared" si="8"/>
        <v>0</v>
      </c>
    </row>
    <row r="114" spans="1:13" ht="33.75" customHeight="1" x14ac:dyDescent="0.2">
      <c r="A114" s="6" t="s">
        <v>365</v>
      </c>
      <c r="B114" s="6" t="s">
        <v>263</v>
      </c>
      <c r="C114" s="7" t="s">
        <v>264</v>
      </c>
      <c r="D114" s="6" t="s">
        <v>43</v>
      </c>
      <c r="E114" s="35" t="s">
        <v>366</v>
      </c>
      <c r="F114" s="35"/>
      <c r="G114" s="8">
        <v>0</v>
      </c>
      <c r="H114" s="8">
        <f t="shared" si="4"/>
        <v>0</v>
      </c>
      <c r="I114" s="9"/>
      <c r="J114" s="9"/>
      <c r="K114" s="9">
        <f t="shared" si="8"/>
        <v>0</v>
      </c>
      <c r="L114" s="10"/>
      <c r="M114" s="10"/>
    </row>
    <row r="115" spans="1:13" x14ac:dyDescent="0.2">
      <c r="A115" s="11" t="s">
        <v>367</v>
      </c>
      <c r="B115" s="11" t="s">
        <v>19</v>
      </c>
      <c r="C115" s="12" t="s">
        <v>20</v>
      </c>
      <c r="D115" s="11" t="s">
        <v>21</v>
      </c>
      <c r="E115" s="13" t="s">
        <v>267</v>
      </c>
      <c r="F115" s="13" t="s">
        <v>368</v>
      </c>
      <c r="G115" s="14">
        <v>15807.93</v>
      </c>
      <c r="H115" s="14">
        <f t="shared" si="4"/>
        <v>1424280.303802032</v>
      </c>
      <c r="I115" s="15">
        <f>H115</f>
        <v>1424280.303802032</v>
      </c>
      <c r="J115" s="15"/>
      <c r="K115" s="15"/>
    </row>
    <row r="116" spans="1:13" x14ac:dyDescent="0.2">
      <c r="A116" s="16" t="s">
        <v>369</v>
      </c>
      <c r="B116" s="16" t="s">
        <v>25</v>
      </c>
      <c r="C116" s="17" t="s">
        <v>26</v>
      </c>
      <c r="D116" s="16" t="s">
        <v>21</v>
      </c>
      <c r="E116" s="18" t="s">
        <v>270</v>
      </c>
      <c r="F116" s="18" t="s">
        <v>370</v>
      </c>
      <c r="G116" s="8">
        <v>0</v>
      </c>
      <c r="H116" s="8">
        <f t="shared" si="4"/>
        <v>0</v>
      </c>
      <c r="I116" s="9"/>
      <c r="J116" s="9">
        <f t="shared" ref="J116:J123" si="9">H116</f>
        <v>0</v>
      </c>
      <c r="K116" s="9"/>
      <c r="L116" s="10"/>
      <c r="M116" s="10"/>
    </row>
    <row r="117" spans="1:13" x14ac:dyDescent="0.2">
      <c r="A117" s="11" t="s">
        <v>371</v>
      </c>
      <c r="B117" s="11" t="s">
        <v>193</v>
      </c>
      <c r="C117" s="12" t="s">
        <v>194</v>
      </c>
      <c r="D117" s="11" t="s">
        <v>32</v>
      </c>
      <c r="E117" s="13" t="s">
        <v>206</v>
      </c>
      <c r="F117" s="13" t="s">
        <v>372</v>
      </c>
      <c r="G117" s="14">
        <v>54800</v>
      </c>
      <c r="H117" s="14">
        <f t="shared" si="4"/>
        <v>61342.319920000002</v>
      </c>
      <c r="I117" s="15"/>
      <c r="J117" s="15">
        <f t="shared" si="9"/>
        <v>61342.319920000002</v>
      </c>
      <c r="K117" s="15"/>
    </row>
    <row r="118" spans="1:13" ht="33.75" customHeight="1" x14ac:dyDescent="0.2">
      <c r="A118" s="11" t="s">
        <v>373</v>
      </c>
      <c r="B118" s="11" t="s">
        <v>158</v>
      </c>
      <c r="C118" s="12" t="s">
        <v>159</v>
      </c>
      <c r="D118" s="11" t="s">
        <v>32</v>
      </c>
      <c r="E118" s="13" t="s">
        <v>275</v>
      </c>
      <c r="F118" s="13" t="s">
        <v>374</v>
      </c>
      <c r="G118" s="14">
        <v>45270</v>
      </c>
      <c r="H118" s="14">
        <f t="shared" si="4"/>
        <v>7239.2252939999998</v>
      </c>
      <c r="I118" s="15"/>
      <c r="J118" s="15">
        <f t="shared" si="9"/>
        <v>7239.2252939999998</v>
      </c>
      <c r="K118" s="15"/>
    </row>
    <row r="119" spans="1:13" x14ac:dyDescent="0.2">
      <c r="A119" s="11" t="s">
        <v>375</v>
      </c>
      <c r="B119" s="11" t="s">
        <v>278</v>
      </c>
      <c r="C119" s="12" t="s">
        <v>279</v>
      </c>
      <c r="D119" s="11" t="s">
        <v>32</v>
      </c>
      <c r="E119" s="13" t="s">
        <v>280</v>
      </c>
      <c r="F119" s="13" t="s">
        <v>376</v>
      </c>
      <c r="G119" s="14">
        <v>637.55999999999995</v>
      </c>
      <c r="H119" s="14">
        <f t="shared" si="4"/>
        <v>87.388819056000003</v>
      </c>
      <c r="I119" s="15"/>
      <c r="J119" s="15">
        <f t="shared" si="9"/>
        <v>87.388819056000003</v>
      </c>
      <c r="K119" s="15"/>
    </row>
    <row r="120" spans="1:13" x14ac:dyDescent="0.2">
      <c r="A120" s="11" t="s">
        <v>377</v>
      </c>
      <c r="B120" s="11" t="s">
        <v>283</v>
      </c>
      <c r="C120" s="12" t="s">
        <v>284</v>
      </c>
      <c r="D120" s="11" t="s">
        <v>32</v>
      </c>
      <c r="E120" s="13" t="s">
        <v>285</v>
      </c>
      <c r="F120" s="13" t="s">
        <v>378</v>
      </c>
      <c r="G120" s="14">
        <v>650</v>
      </c>
      <c r="H120" s="14">
        <f t="shared" si="4"/>
        <v>1039.4293</v>
      </c>
      <c r="I120" s="15"/>
      <c r="J120" s="15">
        <f t="shared" si="9"/>
        <v>1039.4293</v>
      </c>
      <c r="K120" s="15"/>
    </row>
    <row r="121" spans="1:13" ht="22.5" customHeight="1" x14ac:dyDescent="0.2">
      <c r="A121" s="11" t="s">
        <v>379</v>
      </c>
      <c r="B121" s="11" t="s">
        <v>288</v>
      </c>
      <c r="C121" s="12" t="s">
        <v>289</v>
      </c>
      <c r="D121" s="11" t="s">
        <v>32</v>
      </c>
      <c r="E121" s="13" t="s">
        <v>165</v>
      </c>
      <c r="F121" s="13" t="s">
        <v>380</v>
      </c>
      <c r="G121" s="14">
        <v>25650</v>
      </c>
      <c r="H121" s="14">
        <f t="shared" si="4"/>
        <v>3808.7659350000004</v>
      </c>
      <c r="I121" s="15"/>
      <c r="J121" s="15">
        <f t="shared" si="9"/>
        <v>3808.7659350000004</v>
      </c>
      <c r="K121" s="15"/>
    </row>
    <row r="122" spans="1:13" x14ac:dyDescent="0.2">
      <c r="A122" s="11" t="s">
        <v>381</v>
      </c>
      <c r="B122" s="11" t="s">
        <v>292</v>
      </c>
      <c r="C122" s="12" t="s">
        <v>293</v>
      </c>
      <c r="D122" s="11" t="s">
        <v>32</v>
      </c>
      <c r="E122" s="13" t="s">
        <v>294</v>
      </c>
      <c r="F122" s="13" t="s">
        <v>382</v>
      </c>
      <c r="G122" s="14">
        <v>874.37</v>
      </c>
      <c r="H122" s="14">
        <f t="shared" si="4"/>
        <v>858.90921478600001</v>
      </c>
      <c r="I122" s="15"/>
      <c r="J122" s="15">
        <f t="shared" si="9"/>
        <v>858.90921478600001</v>
      </c>
      <c r="K122" s="15"/>
    </row>
    <row r="123" spans="1:13" x14ac:dyDescent="0.2">
      <c r="A123" s="11" t="s">
        <v>383</v>
      </c>
      <c r="B123" s="11" t="s">
        <v>297</v>
      </c>
      <c r="C123" s="12" t="s">
        <v>298</v>
      </c>
      <c r="D123" s="11" t="s">
        <v>32</v>
      </c>
      <c r="E123" s="13" t="s">
        <v>299</v>
      </c>
      <c r="F123" s="13" t="s">
        <v>384</v>
      </c>
      <c r="G123" s="14">
        <v>645</v>
      </c>
      <c r="H123" s="14">
        <f t="shared" si="4"/>
        <v>1547.150535</v>
      </c>
      <c r="I123" s="15"/>
      <c r="J123" s="15">
        <f t="shared" si="9"/>
        <v>1547.150535</v>
      </c>
      <c r="K123" s="15"/>
    </row>
    <row r="124" spans="1:13" x14ac:dyDescent="0.2">
      <c r="A124" s="11" t="s">
        <v>385</v>
      </c>
      <c r="B124" s="11" t="s">
        <v>302</v>
      </c>
      <c r="C124" s="12" t="s">
        <v>303</v>
      </c>
      <c r="D124" s="11" t="s">
        <v>60</v>
      </c>
      <c r="E124" s="13" t="s">
        <v>304</v>
      </c>
      <c r="F124" s="13" t="s">
        <v>386</v>
      </c>
      <c r="G124" s="14">
        <v>4500</v>
      </c>
      <c r="H124" s="14">
        <f t="shared" si="4"/>
        <v>13364.091</v>
      </c>
      <c r="I124" s="15"/>
      <c r="J124" s="15"/>
      <c r="K124" s="15">
        <f t="shared" ref="K124:K132" si="10">H124</f>
        <v>13364.091</v>
      </c>
    </row>
    <row r="125" spans="1:13" x14ac:dyDescent="0.2">
      <c r="A125" s="11" t="s">
        <v>387</v>
      </c>
      <c r="B125" s="11" t="s">
        <v>307</v>
      </c>
      <c r="C125" s="12" t="s">
        <v>308</v>
      </c>
      <c r="D125" s="11" t="s">
        <v>43</v>
      </c>
      <c r="E125" s="13" t="s">
        <v>309</v>
      </c>
      <c r="F125" s="13" t="s">
        <v>388</v>
      </c>
      <c r="G125" s="14">
        <v>5941000</v>
      </c>
      <c r="H125" s="14">
        <f t="shared" si="4"/>
        <v>47501.919009999998</v>
      </c>
      <c r="I125" s="15"/>
      <c r="J125" s="15"/>
      <c r="K125" s="15">
        <f t="shared" si="10"/>
        <v>47501.919009999998</v>
      </c>
    </row>
    <row r="126" spans="1:13" x14ac:dyDescent="0.2">
      <c r="A126" s="11" t="s">
        <v>389</v>
      </c>
      <c r="B126" s="11" t="s">
        <v>312</v>
      </c>
      <c r="C126" s="12" t="s">
        <v>313</v>
      </c>
      <c r="D126" s="11" t="s">
        <v>314</v>
      </c>
      <c r="E126" s="13" t="s">
        <v>315</v>
      </c>
      <c r="F126" s="13" t="s">
        <v>390</v>
      </c>
      <c r="G126" s="14">
        <v>6500</v>
      </c>
      <c r="H126" s="14">
        <f t="shared" si="4"/>
        <v>3712.2475000000004</v>
      </c>
      <c r="I126" s="15"/>
      <c r="J126" s="15"/>
      <c r="K126" s="15">
        <f t="shared" si="10"/>
        <v>3712.2475000000004</v>
      </c>
    </row>
    <row r="127" spans="1:13" x14ac:dyDescent="0.2">
      <c r="A127" s="11" t="s">
        <v>391</v>
      </c>
      <c r="B127" s="11" t="s">
        <v>318</v>
      </c>
      <c r="C127" s="12" t="s">
        <v>319</v>
      </c>
      <c r="D127" s="11" t="s">
        <v>320</v>
      </c>
      <c r="E127" s="13" t="s">
        <v>321</v>
      </c>
      <c r="F127" s="13" t="s">
        <v>392</v>
      </c>
      <c r="G127" s="14">
        <v>3200</v>
      </c>
      <c r="H127" s="14">
        <f t="shared" si="4"/>
        <v>6579.2447999999995</v>
      </c>
      <c r="I127" s="15"/>
      <c r="J127" s="15"/>
      <c r="K127" s="15">
        <f t="shared" si="10"/>
        <v>6579.2447999999995</v>
      </c>
    </row>
    <row r="128" spans="1:13" ht="33.75" customHeight="1" x14ac:dyDescent="0.2">
      <c r="A128" s="19" t="s">
        <v>393</v>
      </c>
      <c r="B128" s="19" t="s">
        <v>324</v>
      </c>
      <c r="C128" s="20" t="s">
        <v>325</v>
      </c>
      <c r="D128" s="19" t="s">
        <v>43</v>
      </c>
      <c r="E128" s="36" t="s">
        <v>394</v>
      </c>
      <c r="F128" s="36"/>
      <c r="G128" s="14">
        <v>4600000</v>
      </c>
      <c r="H128" s="14">
        <f t="shared" si="4"/>
        <v>2043642</v>
      </c>
      <c r="I128" s="15"/>
      <c r="J128" s="15"/>
      <c r="K128" s="15">
        <f t="shared" si="10"/>
        <v>2043642</v>
      </c>
    </row>
    <row r="129" spans="1:13" ht="33.75" customHeight="1" x14ac:dyDescent="0.2">
      <c r="A129" s="19" t="s">
        <v>160</v>
      </c>
      <c r="B129" s="19" t="s">
        <v>361</v>
      </c>
      <c r="C129" s="20" t="s">
        <v>362</v>
      </c>
      <c r="D129" s="19" t="s">
        <v>43</v>
      </c>
      <c r="E129" s="36" t="s">
        <v>395</v>
      </c>
      <c r="F129" s="36"/>
      <c r="G129" s="14">
        <v>4600000</v>
      </c>
      <c r="H129" s="14">
        <f t="shared" si="4"/>
        <v>3315680</v>
      </c>
      <c r="I129" s="15"/>
      <c r="J129" s="15"/>
      <c r="K129" s="15">
        <f t="shared" si="10"/>
        <v>3315680</v>
      </c>
    </row>
    <row r="130" spans="1:13" ht="12.75" customHeight="1" x14ac:dyDescent="0.2">
      <c r="A130" s="37"/>
      <c r="B130" s="37"/>
      <c r="C130" s="37"/>
      <c r="D130" s="37"/>
      <c r="E130" s="37"/>
      <c r="F130" s="37"/>
      <c r="G130" s="14"/>
      <c r="H130" s="14">
        <f t="shared" si="4"/>
        <v>0</v>
      </c>
      <c r="I130" s="15"/>
      <c r="J130" s="15"/>
      <c r="K130" s="15">
        <f t="shared" si="10"/>
        <v>0</v>
      </c>
    </row>
    <row r="131" spans="1:13" ht="12.75" customHeight="1" x14ac:dyDescent="0.2">
      <c r="A131" s="37" t="s">
        <v>396</v>
      </c>
      <c r="B131" s="37"/>
      <c r="C131" s="37"/>
      <c r="D131" s="37"/>
      <c r="E131" s="37"/>
      <c r="F131" s="37"/>
      <c r="G131" s="14"/>
      <c r="H131" s="14">
        <f t="shared" si="4"/>
        <v>0</v>
      </c>
      <c r="I131" s="15"/>
      <c r="J131" s="15"/>
      <c r="K131" s="15">
        <f t="shared" si="10"/>
        <v>0</v>
      </c>
    </row>
    <row r="132" spans="1:13" ht="33.75" customHeight="1" x14ac:dyDescent="0.2">
      <c r="A132" s="6" t="s">
        <v>397</v>
      </c>
      <c r="B132" s="6" t="s">
        <v>263</v>
      </c>
      <c r="C132" s="7" t="s">
        <v>264</v>
      </c>
      <c r="D132" s="6" t="s">
        <v>43</v>
      </c>
      <c r="E132" s="35" t="s">
        <v>398</v>
      </c>
      <c r="F132" s="35"/>
      <c r="G132" s="8">
        <v>0</v>
      </c>
      <c r="H132" s="8">
        <f t="shared" si="4"/>
        <v>0</v>
      </c>
      <c r="I132" s="9"/>
      <c r="J132" s="9"/>
      <c r="K132" s="9">
        <f t="shared" si="10"/>
        <v>0</v>
      </c>
      <c r="L132" s="10"/>
      <c r="M132" s="10"/>
    </row>
    <row r="133" spans="1:13" ht="22.5" customHeight="1" x14ac:dyDescent="0.2">
      <c r="A133" s="11" t="s">
        <v>399</v>
      </c>
      <c r="B133" s="11" t="s">
        <v>19</v>
      </c>
      <c r="C133" s="12" t="s">
        <v>20</v>
      </c>
      <c r="D133" s="11" t="s">
        <v>21</v>
      </c>
      <c r="E133" s="13" t="s">
        <v>267</v>
      </c>
      <c r="F133" s="13" t="s">
        <v>400</v>
      </c>
      <c r="G133" s="14">
        <v>15807.93</v>
      </c>
      <c r="H133" s="14">
        <f t="shared" si="4"/>
        <v>23341211.308453683</v>
      </c>
      <c r="I133" s="15">
        <f>H133</f>
        <v>23341211.308453683</v>
      </c>
      <c r="J133" s="15"/>
      <c r="K133" s="15"/>
    </row>
    <row r="134" spans="1:13" x14ac:dyDescent="0.2">
      <c r="A134" s="16" t="s">
        <v>401</v>
      </c>
      <c r="B134" s="16" t="s">
        <v>25</v>
      </c>
      <c r="C134" s="17" t="s">
        <v>26</v>
      </c>
      <c r="D134" s="16" t="s">
        <v>21</v>
      </c>
      <c r="E134" s="18" t="s">
        <v>270</v>
      </c>
      <c r="F134" s="18" t="s">
        <v>402</v>
      </c>
      <c r="G134" s="8">
        <v>0</v>
      </c>
      <c r="H134" s="8">
        <f t="shared" si="4"/>
        <v>0</v>
      </c>
      <c r="I134" s="9"/>
      <c r="J134" s="9">
        <f t="shared" ref="J134:J141" si="11">H134</f>
        <v>0</v>
      </c>
      <c r="K134" s="9"/>
      <c r="L134" s="10"/>
      <c r="M134" s="10"/>
    </row>
    <row r="135" spans="1:13" x14ac:dyDescent="0.2">
      <c r="A135" s="11" t="s">
        <v>403</v>
      </c>
      <c r="B135" s="11" t="s">
        <v>193</v>
      </c>
      <c r="C135" s="12" t="s">
        <v>194</v>
      </c>
      <c r="D135" s="11" t="s">
        <v>32</v>
      </c>
      <c r="E135" s="13" t="s">
        <v>206</v>
      </c>
      <c r="F135" s="13" t="s">
        <v>404</v>
      </c>
      <c r="G135" s="14">
        <v>54800</v>
      </c>
      <c r="H135" s="14">
        <f t="shared" si="4"/>
        <v>1005282.4907999999</v>
      </c>
      <c r="I135" s="15"/>
      <c r="J135" s="15">
        <f t="shared" si="11"/>
        <v>1005282.4907999999</v>
      </c>
      <c r="K135" s="15"/>
    </row>
    <row r="136" spans="1:13" ht="33.75" customHeight="1" x14ac:dyDescent="0.2">
      <c r="A136" s="11" t="s">
        <v>405</v>
      </c>
      <c r="B136" s="11" t="s">
        <v>158</v>
      </c>
      <c r="C136" s="12" t="s">
        <v>159</v>
      </c>
      <c r="D136" s="11" t="s">
        <v>32</v>
      </c>
      <c r="E136" s="13" t="s">
        <v>275</v>
      </c>
      <c r="F136" s="13" t="s">
        <v>406</v>
      </c>
      <c r="G136" s="14">
        <v>45270</v>
      </c>
      <c r="H136" s="14">
        <f t="shared" si="4"/>
        <v>118636.96131</v>
      </c>
      <c r="I136" s="15"/>
      <c r="J136" s="15">
        <f t="shared" si="11"/>
        <v>118636.96131</v>
      </c>
      <c r="K136" s="15"/>
    </row>
    <row r="137" spans="1:13" x14ac:dyDescent="0.2">
      <c r="A137" s="11" t="s">
        <v>407</v>
      </c>
      <c r="B137" s="11" t="s">
        <v>278</v>
      </c>
      <c r="C137" s="12" t="s">
        <v>279</v>
      </c>
      <c r="D137" s="11" t="s">
        <v>32</v>
      </c>
      <c r="E137" s="13" t="s">
        <v>280</v>
      </c>
      <c r="F137" s="13" t="s">
        <v>408</v>
      </c>
      <c r="G137" s="14">
        <v>637.55999999999995</v>
      </c>
      <c r="H137" s="14">
        <f t="shared" si="4"/>
        <v>1432.13445144</v>
      </c>
      <c r="I137" s="15"/>
      <c r="J137" s="15">
        <f t="shared" si="11"/>
        <v>1432.13445144</v>
      </c>
      <c r="K137" s="15"/>
    </row>
    <row r="138" spans="1:13" x14ac:dyDescent="0.2">
      <c r="A138" s="11" t="s">
        <v>409</v>
      </c>
      <c r="B138" s="11" t="s">
        <v>283</v>
      </c>
      <c r="C138" s="12" t="s">
        <v>284</v>
      </c>
      <c r="D138" s="11" t="s">
        <v>32</v>
      </c>
      <c r="E138" s="13" t="s">
        <v>285</v>
      </c>
      <c r="F138" s="13" t="s">
        <v>410</v>
      </c>
      <c r="G138" s="14">
        <v>650</v>
      </c>
      <c r="H138" s="14">
        <f t="shared" si="4"/>
        <v>17034.244500000001</v>
      </c>
      <c r="I138" s="15"/>
      <c r="J138" s="15">
        <f t="shared" si="11"/>
        <v>17034.244500000001</v>
      </c>
      <c r="K138" s="15"/>
    </row>
    <row r="139" spans="1:13" ht="22.5" customHeight="1" x14ac:dyDescent="0.2">
      <c r="A139" s="11" t="s">
        <v>411</v>
      </c>
      <c r="B139" s="11" t="s">
        <v>288</v>
      </c>
      <c r="C139" s="12" t="s">
        <v>289</v>
      </c>
      <c r="D139" s="11" t="s">
        <v>32</v>
      </c>
      <c r="E139" s="13" t="s">
        <v>165</v>
      </c>
      <c r="F139" s="13" t="s">
        <v>412</v>
      </c>
      <c r="G139" s="14">
        <v>25650</v>
      </c>
      <c r="H139" s="14">
        <f t="shared" si="4"/>
        <v>62418.338774999997</v>
      </c>
      <c r="I139" s="15"/>
      <c r="J139" s="15">
        <f t="shared" si="11"/>
        <v>62418.338774999997</v>
      </c>
      <c r="K139" s="15"/>
    </row>
    <row r="140" spans="1:13" x14ac:dyDescent="0.2">
      <c r="A140" s="11" t="s">
        <v>413</v>
      </c>
      <c r="B140" s="11" t="s">
        <v>292</v>
      </c>
      <c r="C140" s="12" t="s">
        <v>293</v>
      </c>
      <c r="D140" s="11" t="s">
        <v>32</v>
      </c>
      <c r="E140" s="13" t="s">
        <v>294</v>
      </c>
      <c r="F140" s="13" t="s">
        <v>414</v>
      </c>
      <c r="G140" s="14">
        <v>874.37</v>
      </c>
      <c r="H140" s="14">
        <f t="shared" si="4"/>
        <v>14075.867947889999</v>
      </c>
      <c r="I140" s="15"/>
      <c r="J140" s="15">
        <f t="shared" si="11"/>
        <v>14075.867947889999</v>
      </c>
      <c r="K140" s="15"/>
    </row>
    <row r="141" spans="1:13" x14ac:dyDescent="0.2">
      <c r="A141" s="11" t="s">
        <v>415</v>
      </c>
      <c r="B141" s="11" t="s">
        <v>297</v>
      </c>
      <c r="C141" s="12" t="s">
        <v>298</v>
      </c>
      <c r="D141" s="11" t="s">
        <v>32</v>
      </c>
      <c r="E141" s="13" t="s">
        <v>299</v>
      </c>
      <c r="F141" s="13" t="s">
        <v>416</v>
      </c>
      <c r="G141" s="14">
        <v>645</v>
      </c>
      <c r="H141" s="14">
        <f t="shared" si="4"/>
        <v>25354.817775</v>
      </c>
      <c r="I141" s="15"/>
      <c r="J141" s="15">
        <f t="shared" si="11"/>
        <v>25354.817775</v>
      </c>
      <c r="K141" s="15"/>
    </row>
    <row r="142" spans="1:13" x14ac:dyDescent="0.2">
      <c r="A142" s="11" t="s">
        <v>417</v>
      </c>
      <c r="B142" s="11" t="s">
        <v>302</v>
      </c>
      <c r="C142" s="12" t="s">
        <v>303</v>
      </c>
      <c r="D142" s="11" t="s">
        <v>60</v>
      </c>
      <c r="E142" s="13" t="s">
        <v>304</v>
      </c>
      <c r="F142" s="13" t="s">
        <v>418</v>
      </c>
      <c r="G142" s="14">
        <v>4500</v>
      </c>
      <c r="H142" s="14">
        <f t="shared" si="4"/>
        <v>219011.715</v>
      </c>
      <c r="I142" s="15"/>
      <c r="J142" s="15"/>
      <c r="K142" s="15">
        <f t="shared" ref="K142:K150" si="12">H142</f>
        <v>219011.715</v>
      </c>
    </row>
    <row r="143" spans="1:13" x14ac:dyDescent="0.2">
      <c r="A143" s="11" t="s">
        <v>419</v>
      </c>
      <c r="B143" s="11" t="s">
        <v>307</v>
      </c>
      <c r="C143" s="12" t="s">
        <v>308</v>
      </c>
      <c r="D143" s="11" t="s">
        <v>43</v>
      </c>
      <c r="E143" s="13" t="s">
        <v>309</v>
      </c>
      <c r="F143" s="13" t="s">
        <v>420</v>
      </c>
      <c r="G143" s="14">
        <v>5941000</v>
      </c>
      <c r="H143" s="14">
        <f t="shared" si="4"/>
        <v>778464.97365000006</v>
      </c>
      <c r="I143" s="15"/>
      <c r="J143" s="15"/>
      <c r="K143" s="15">
        <f t="shared" si="12"/>
        <v>778464.97365000006</v>
      </c>
    </row>
    <row r="144" spans="1:13" x14ac:dyDescent="0.2">
      <c r="A144" s="11" t="s">
        <v>421</v>
      </c>
      <c r="B144" s="11" t="s">
        <v>312</v>
      </c>
      <c r="C144" s="12" t="s">
        <v>313</v>
      </c>
      <c r="D144" s="11" t="s">
        <v>314</v>
      </c>
      <c r="E144" s="13" t="s">
        <v>315</v>
      </c>
      <c r="F144" s="13" t="s">
        <v>422</v>
      </c>
      <c r="G144" s="14">
        <v>6500</v>
      </c>
      <c r="H144" s="14">
        <f t="shared" ref="H144:H207" si="13">IF(ISNUMBER(G144),IF(F144="",E144*G144,F144*G144),0)</f>
        <v>60836.587500000001</v>
      </c>
      <c r="I144" s="15"/>
      <c r="J144" s="15"/>
      <c r="K144" s="15">
        <f t="shared" si="12"/>
        <v>60836.587500000001</v>
      </c>
    </row>
    <row r="145" spans="1:13" x14ac:dyDescent="0.2">
      <c r="A145" s="11" t="s">
        <v>423</v>
      </c>
      <c r="B145" s="11" t="s">
        <v>318</v>
      </c>
      <c r="C145" s="12" t="s">
        <v>319</v>
      </c>
      <c r="D145" s="11" t="s">
        <v>320</v>
      </c>
      <c r="E145" s="13" t="s">
        <v>321</v>
      </c>
      <c r="F145" s="13" t="s">
        <v>424</v>
      </c>
      <c r="G145" s="14">
        <v>3200</v>
      </c>
      <c r="H145" s="14">
        <f t="shared" si="13"/>
        <v>107821.152</v>
      </c>
      <c r="I145" s="15"/>
      <c r="J145" s="15"/>
      <c r="K145" s="15">
        <f t="shared" si="12"/>
        <v>107821.152</v>
      </c>
    </row>
    <row r="146" spans="1:13" ht="33.75" customHeight="1" x14ac:dyDescent="0.2">
      <c r="A146" s="19" t="s">
        <v>425</v>
      </c>
      <c r="B146" s="19" t="s">
        <v>324</v>
      </c>
      <c r="C146" s="20" t="s">
        <v>325</v>
      </c>
      <c r="D146" s="19" t="s">
        <v>43</v>
      </c>
      <c r="E146" s="36" t="s">
        <v>426</v>
      </c>
      <c r="F146" s="36"/>
      <c r="G146" s="14">
        <v>4600000</v>
      </c>
      <c r="H146" s="14">
        <f t="shared" si="13"/>
        <v>72625720</v>
      </c>
      <c r="I146" s="15"/>
      <c r="J146" s="15"/>
      <c r="K146" s="15">
        <f t="shared" si="12"/>
        <v>72625720</v>
      </c>
    </row>
    <row r="147" spans="1:13" ht="33.75" customHeight="1" x14ac:dyDescent="0.2">
      <c r="A147" s="19" t="s">
        <v>427</v>
      </c>
      <c r="B147" s="19" t="s">
        <v>361</v>
      </c>
      <c r="C147" s="20" t="s">
        <v>362</v>
      </c>
      <c r="D147" s="19" t="s">
        <v>43</v>
      </c>
      <c r="E147" s="36" t="s">
        <v>428</v>
      </c>
      <c r="F147" s="36"/>
      <c r="G147" s="14">
        <v>4600000</v>
      </c>
      <c r="H147" s="14">
        <f t="shared" si="13"/>
        <v>15203598</v>
      </c>
      <c r="I147" s="15"/>
      <c r="J147" s="15"/>
      <c r="K147" s="15">
        <f t="shared" si="12"/>
        <v>15203598</v>
      </c>
    </row>
    <row r="148" spans="1:13" ht="12.75" customHeight="1" x14ac:dyDescent="0.2">
      <c r="A148" s="37"/>
      <c r="B148" s="37"/>
      <c r="C148" s="37"/>
      <c r="D148" s="37"/>
      <c r="E148" s="37"/>
      <c r="F148" s="37"/>
      <c r="G148" s="14"/>
      <c r="H148" s="14">
        <f t="shared" si="13"/>
        <v>0</v>
      </c>
      <c r="I148" s="15"/>
      <c r="J148" s="15"/>
      <c r="K148" s="15">
        <f t="shared" si="12"/>
        <v>0</v>
      </c>
    </row>
    <row r="149" spans="1:13" ht="12.75" customHeight="1" x14ac:dyDescent="0.2">
      <c r="A149" s="37" t="s">
        <v>429</v>
      </c>
      <c r="B149" s="37"/>
      <c r="C149" s="37"/>
      <c r="D149" s="37"/>
      <c r="E149" s="37"/>
      <c r="F149" s="37"/>
      <c r="G149" s="14"/>
      <c r="H149" s="14">
        <f t="shared" si="13"/>
        <v>0</v>
      </c>
      <c r="I149" s="15"/>
      <c r="J149" s="15"/>
      <c r="K149" s="15">
        <f t="shared" si="12"/>
        <v>0</v>
      </c>
    </row>
    <row r="150" spans="1:13" ht="33.75" customHeight="1" x14ac:dyDescent="0.2">
      <c r="A150" s="6" t="s">
        <v>430</v>
      </c>
      <c r="B150" s="6" t="s">
        <v>263</v>
      </c>
      <c r="C150" s="7" t="s">
        <v>264</v>
      </c>
      <c r="D150" s="6" t="s">
        <v>43</v>
      </c>
      <c r="E150" s="35" t="s">
        <v>431</v>
      </c>
      <c r="F150" s="35"/>
      <c r="G150" s="8">
        <v>0</v>
      </c>
      <c r="H150" s="8">
        <f t="shared" si="13"/>
        <v>0</v>
      </c>
      <c r="I150" s="9"/>
      <c r="J150" s="9"/>
      <c r="K150" s="9">
        <f t="shared" si="12"/>
        <v>0</v>
      </c>
      <c r="L150" s="10"/>
      <c r="M150" s="10"/>
    </row>
    <row r="151" spans="1:13" x14ac:dyDescent="0.2">
      <c r="A151" s="11" t="s">
        <v>432</v>
      </c>
      <c r="B151" s="11" t="s">
        <v>19</v>
      </c>
      <c r="C151" s="12" t="s">
        <v>20</v>
      </c>
      <c r="D151" s="11" t="s">
        <v>21</v>
      </c>
      <c r="E151" s="13" t="s">
        <v>267</v>
      </c>
      <c r="F151" s="13" t="s">
        <v>433</v>
      </c>
      <c r="G151" s="14">
        <v>15807.93</v>
      </c>
      <c r="H151" s="14">
        <f t="shared" si="13"/>
        <v>369440.27771155204</v>
      </c>
      <c r="I151" s="15">
        <f>H151</f>
        <v>369440.27771155204</v>
      </c>
      <c r="J151" s="15"/>
      <c r="K151" s="15"/>
    </row>
    <row r="152" spans="1:13" x14ac:dyDescent="0.2">
      <c r="A152" s="16" t="s">
        <v>434</v>
      </c>
      <c r="B152" s="16" t="s">
        <v>25</v>
      </c>
      <c r="C152" s="17" t="s">
        <v>26</v>
      </c>
      <c r="D152" s="16" t="s">
        <v>21</v>
      </c>
      <c r="E152" s="18" t="s">
        <v>270</v>
      </c>
      <c r="F152" s="18" t="s">
        <v>435</v>
      </c>
      <c r="G152" s="8">
        <v>0</v>
      </c>
      <c r="H152" s="8">
        <f t="shared" si="13"/>
        <v>0</v>
      </c>
      <c r="I152" s="9"/>
      <c r="J152" s="9">
        <f t="shared" ref="J152:J159" si="14">H152</f>
        <v>0</v>
      </c>
      <c r="K152" s="9"/>
      <c r="L152" s="10"/>
      <c r="M152" s="10"/>
    </row>
    <row r="153" spans="1:13" x14ac:dyDescent="0.2">
      <c r="A153" s="11" t="s">
        <v>436</v>
      </c>
      <c r="B153" s="11" t="s">
        <v>193</v>
      </c>
      <c r="C153" s="12" t="s">
        <v>194</v>
      </c>
      <c r="D153" s="11" t="s">
        <v>32</v>
      </c>
      <c r="E153" s="13" t="s">
        <v>206</v>
      </c>
      <c r="F153" s="13" t="s">
        <v>437</v>
      </c>
      <c r="G153" s="14">
        <v>54800</v>
      </c>
      <c r="H153" s="14">
        <f t="shared" si="13"/>
        <v>15911.421120000001</v>
      </c>
      <c r="I153" s="15"/>
      <c r="J153" s="15">
        <f t="shared" si="14"/>
        <v>15911.421120000001</v>
      </c>
      <c r="K153" s="15"/>
    </row>
    <row r="154" spans="1:13" ht="33.75" customHeight="1" x14ac:dyDescent="0.2">
      <c r="A154" s="11" t="s">
        <v>438</v>
      </c>
      <c r="B154" s="11" t="s">
        <v>158</v>
      </c>
      <c r="C154" s="12" t="s">
        <v>159</v>
      </c>
      <c r="D154" s="11" t="s">
        <v>32</v>
      </c>
      <c r="E154" s="13" t="s">
        <v>275</v>
      </c>
      <c r="F154" s="13" t="s">
        <v>439</v>
      </c>
      <c r="G154" s="14">
        <v>45270</v>
      </c>
      <c r="H154" s="14">
        <f t="shared" si="13"/>
        <v>1877.7633840000001</v>
      </c>
      <c r="I154" s="15"/>
      <c r="J154" s="15">
        <f t="shared" si="14"/>
        <v>1877.7633840000001</v>
      </c>
      <c r="K154" s="15"/>
    </row>
    <row r="155" spans="1:13" x14ac:dyDescent="0.2">
      <c r="A155" s="11" t="s">
        <v>440</v>
      </c>
      <c r="B155" s="11" t="s">
        <v>278</v>
      </c>
      <c r="C155" s="12" t="s">
        <v>279</v>
      </c>
      <c r="D155" s="11" t="s">
        <v>32</v>
      </c>
      <c r="E155" s="13" t="s">
        <v>280</v>
      </c>
      <c r="F155" s="13" t="s">
        <v>441</v>
      </c>
      <c r="G155" s="14">
        <v>637.55999999999995</v>
      </c>
      <c r="H155" s="14">
        <f t="shared" si="13"/>
        <v>22.667553215999998</v>
      </c>
      <c r="I155" s="15"/>
      <c r="J155" s="15">
        <f t="shared" si="14"/>
        <v>22.667553215999998</v>
      </c>
      <c r="K155" s="15"/>
    </row>
    <row r="156" spans="1:13" x14ac:dyDescent="0.2">
      <c r="A156" s="11" t="s">
        <v>442</v>
      </c>
      <c r="B156" s="11" t="s">
        <v>283</v>
      </c>
      <c r="C156" s="12" t="s">
        <v>284</v>
      </c>
      <c r="D156" s="11" t="s">
        <v>32</v>
      </c>
      <c r="E156" s="13" t="s">
        <v>285</v>
      </c>
      <c r="F156" s="13" t="s">
        <v>443</v>
      </c>
      <c r="G156" s="14">
        <v>650</v>
      </c>
      <c r="H156" s="14">
        <f t="shared" si="13"/>
        <v>269.6148</v>
      </c>
      <c r="I156" s="15"/>
      <c r="J156" s="15">
        <f t="shared" si="14"/>
        <v>269.6148</v>
      </c>
      <c r="K156" s="15"/>
    </row>
    <row r="157" spans="1:13" ht="22.5" customHeight="1" x14ac:dyDescent="0.2">
      <c r="A157" s="11" t="s">
        <v>444</v>
      </c>
      <c r="B157" s="11" t="s">
        <v>288</v>
      </c>
      <c r="C157" s="12" t="s">
        <v>289</v>
      </c>
      <c r="D157" s="11" t="s">
        <v>32</v>
      </c>
      <c r="E157" s="13" t="s">
        <v>165</v>
      </c>
      <c r="F157" s="13" t="s">
        <v>445</v>
      </c>
      <c r="G157" s="14">
        <v>25650</v>
      </c>
      <c r="H157" s="14">
        <f t="shared" si="13"/>
        <v>987.94565999999998</v>
      </c>
      <c r="I157" s="15"/>
      <c r="J157" s="15">
        <f t="shared" si="14"/>
        <v>987.94565999999998</v>
      </c>
      <c r="K157" s="15"/>
    </row>
    <row r="158" spans="1:13" x14ac:dyDescent="0.2">
      <c r="A158" s="11" t="s">
        <v>446</v>
      </c>
      <c r="B158" s="11" t="s">
        <v>292</v>
      </c>
      <c r="C158" s="12" t="s">
        <v>293</v>
      </c>
      <c r="D158" s="11" t="s">
        <v>32</v>
      </c>
      <c r="E158" s="13" t="s">
        <v>294</v>
      </c>
      <c r="F158" s="13" t="s">
        <v>447</v>
      </c>
      <c r="G158" s="14">
        <v>874.37</v>
      </c>
      <c r="H158" s="14">
        <f t="shared" si="13"/>
        <v>222.79017549599999</v>
      </c>
      <c r="I158" s="15"/>
      <c r="J158" s="15">
        <f t="shared" si="14"/>
        <v>222.79017549599999</v>
      </c>
      <c r="K158" s="15"/>
    </row>
    <row r="159" spans="1:13" x14ac:dyDescent="0.2">
      <c r="A159" s="11" t="s">
        <v>448</v>
      </c>
      <c r="B159" s="11" t="s">
        <v>297</v>
      </c>
      <c r="C159" s="12" t="s">
        <v>298</v>
      </c>
      <c r="D159" s="11" t="s">
        <v>32</v>
      </c>
      <c r="E159" s="13" t="s">
        <v>299</v>
      </c>
      <c r="F159" s="13" t="s">
        <v>449</v>
      </c>
      <c r="G159" s="14">
        <v>645</v>
      </c>
      <c r="H159" s="14">
        <f t="shared" si="13"/>
        <v>401.31126</v>
      </c>
      <c r="I159" s="15"/>
      <c r="J159" s="15">
        <f t="shared" si="14"/>
        <v>401.31126</v>
      </c>
      <c r="K159" s="15"/>
    </row>
    <row r="160" spans="1:13" x14ac:dyDescent="0.2">
      <c r="A160" s="11" t="s">
        <v>450</v>
      </c>
      <c r="B160" s="11" t="s">
        <v>302</v>
      </c>
      <c r="C160" s="12" t="s">
        <v>303</v>
      </c>
      <c r="D160" s="11" t="s">
        <v>60</v>
      </c>
      <c r="E160" s="13" t="s">
        <v>304</v>
      </c>
      <c r="F160" s="13" t="s">
        <v>451</v>
      </c>
      <c r="G160" s="14">
        <v>4500</v>
      </c>
      <c r="H160" s="14">
        <f t="shared" si="13"/>
        <v>3466.4760000000001</v>
      </c>
      <c r="I160" s="15"/>
      <c r="J160" s="15"/>
      <c r="K160" s="15">
        <f t="shared" ref="K160:K167" si="15">H160</f>
        <v>3466.4760000000001</v>
      </c>
    </row>
    <row r="161" spans="1:13" x14ac:dyDescent="0.2">
      <c r="A161" s="11" t="s">
        <v>452</v>
      </c>
      <c r="B161" s="11" t="s">
        <v>307</v>
      </c>
      <c r="C161" s="12" t="s">
        <v>308</v>
      </c>
      <c r="D161" s="11" t="s">
        <v>43</v>
      </c>
      <c r="E161" s="13" t="s">
        <v>309</v>
      </c>
      <c r="F161" s="13" t="s">
        <v>453</v>
      </c>
      <c r="G161" s="14">
        <v>5941000</v>
      </c>
      <c r="H161" s="14">
        <f t="shared" si="13"/>
        <v>12321.396360000001</v>
      </c>
      <c r="I161" s="15"/>
      <c r="J161" s="15"/>
      <c r="K161" s="15">
        <f t="shared" si="15"/>
        <v>12321.396360000001</v>
      </c>
    </row>
    <row r="162" spans="1:13" x14ac:dyDescent="0.2">
      <c r="A162" s="11" t="s">
        <v>454</v>
      </c>
      <c r="B162" s="11" t="s">
        <v>312</v>
      </c>
      <c r="C162" s="12" t="s">
        <v>313</v>
      </c>
      <c r="D162" s="11" t="s">
        <v>314</v>
      </c>
      <c r="E162" s="13" t="s">
        <v>315</v>
      </c>
      <c r="F162" s="13" t="s">
        <v>455</v>
      </c>
      <c r="G162" s="14">
        <v>6500</v>
      </c>
      <c r="H162" s="14">
        <f t="shared" si="13"/>
        <v>962.91</v>
      </c>
      <c r="I162" s="15"/>
      <c r="J162" s="15"/>
      <c r="K162" s="15">
        <f t="shared" si="15"/>
        <v>962.91</v>
      </c>
    </row>
    <row r="163" spans="1:13" x14ac:dyDescent="0.2">
      <c r="A163" s="11" t="s">
        <v>456</v>
      </c>
      <c r="B163" s="11" t="s">
        <v>318</v>
      </c>
      <c r="C163" s="12" t="s">
        <v>319</v>
      </c>
      <c r="D163" s="11" t="s">
        <v>320</v>
      </c>
      <c r="E163" s="13" t="s">
        <v>321</v>
      </c>
      <c r="F163" s="13" t="s">
        <v>457</v>
      </c>
      <c r="G163" s="14">
        <v>3200</v>
      </c>
      <c r="H163" s="14">
        <f t="shared" si="13"/>
        <v>1706.5727999999999</v>
      </c>
      <c r="I163" s="15"/>
      <c r="J163" s="15"/>
      <c r="K163" s="15">
        <f t="shared" si="15"/>
        <v>1706.5727999999999</v>
      </c>
    </row>
    <row r="164" spans="1:13" ht="33.75" customHeight="1" x14ac:dyDescent="0.2">
      <c r="A164" s="19" t="s">
        <v>458</v>
      </c>
      <c r="B164" s="19" t="s">
        <v>459</v>
      </c>
      <c r="C164" s="20" t="s">
        <v>460</v>
      </c>
      <c r="D164" s="19" t="s">
        <v>43</v>
      </c>
      <c r="E164" s="36" t="s">
        <v>461</v>
      </c>
      <c r="F164" s="36"/>
      <c r="G164" s="14">
        <v>4600000</v>
      </c>
      <c r="H164" s="14">
        <f t="shared" si="13"/>
        <v>1390166</v>
      </c>
      <c r="I164" s="15"/>
      <c r="J164" s="15"/>
      <c r="K164" s="15">
        <f t="shared" si="15"/>
        <v>1390166</v>
      </c>
    </row>
    <row r="165" spans="1:13" ht="12.75" customHeight="1" x14ac:dyDescent="0.2">
      <c r="A165" s="37"/>
      <c r="B165" s="37"/>
      <c r="C165" s="37"/>
      <c r="D165" s="37"/>
      <c r="E165" s="37"/>
      <c r="F165" s="37"/>
      <c r="G165" s="14"/>
      <c r="H165" s="14">
        <f t="shared" si="13"/>
        <v>0</v>
      </c>
      <c r="I165" s="15"/>
      <c r="J165" s="15"/>
      <c r="K165" s="15">
        <f t="shared" si="15"/>
        <v>0</v>
      </c>
    </row>
    <row r="166" spans="1:13" ht="12.75" customHeight="1" x14ac:dyDescent="0.2">
      <c r="A166" s="37" t="s">
        <v>462</v>
      </c>
      <c r="B166" s="37"/>
      <c r="C166" s="37"/>
      <c r="D166" s="37"/>
      <c r="E166" s="37"/>
      <c r="F166" s="37"/>
      <c r="G166" s="14"/>
      <c r="H166" s="14">
        <f t="shared" si="13"/>
        <v>0</v>
      </c>
      <c r="I166" s="15"/>
      <c r="J166" s="15"/>
      <c r="K166" s="15">
        <f t="shared" si="15"/>
        <v>0</v>
      </c>
    </row>
    <row r="167" spans="1:13" ht="33.75" customHeight="1" x14ac:dyDescent="0.2">
      <c r="A167" s="6" t="s">
        <v>463</v>
      </c>
      <c r="B167" s="6" t="s">
        <v>263</v>
      </c>
      <c r="C167" s="7" t="s">
        <v>264</v>
      </c>
      <c r="D167" s="6" t="s">
        <v>43</v>
      </c>
      <c r="E167" s="35" t="s">
        <v>464</v>
      </c>
      <c r="F167" s="35"/>
      <c r="G167" s="8">
        <v>0</v>
      </c>
      <c r="H167" s="8">
        <f t="shared" si="13"/>
        <v>0</v>
      </c>
      <c r="I167" s="9"/>
      <c r="J167" s="9"/>
      <c r="K167" s="9">
        <f t="shared" si="15"/>
        <v>0</v>
      </c>
      <c r="L167" s="10"/>
      <c r="M167" s="10"/>
    </row>
    <row r="168" spans="1:13" x14ac:dyDescent="0.2">
      <c r="A168" s="11" t="s">
        <v>465</v>
      </c>
      <c r="B168" s="11" t="s">
        <v>19</v>
      </c>
      <c r="C168" s="12" t="s">
        <v>20</v>
      </c>
      <c r="D168" s="11" t="s">
        <v>21</v>
      </c>
      <c r="E168" s="13" t="s">
        <v>267</v>
      </c>
      <c r="F168" s="13" t="s">
        <v>466</v>
      </c>
      <c r="G168" s="14">
        <v>15807.93</v>
      </c>
      <c r="H168" s="14">
        <f t="shared" si="13"/>
        <v>10296707.537615759</v>
      </c>
      <c r="I168" s="15">
        <f>H168</f>
        <v>10296707.537615759</v>
      </c>
      <c r="J168" s="15"/>
      <c r="K168" s="15"/>
    </row>
    <row r="169" spans="1:13" x14ac:dyDescent="0.2">
      <c r="A169" s="16" t="s">
        <v>467</v>
      </c>
      <c r="B169" s="16" t="s">
        <v>25</v>
      </c>
      <c r="C169" s="17" t="s">
        <v>26</v>
      </c>
      <c r="D169" s="16" t="s">
        <v>21</v>
      </c>
      <c r="E169" s="18" t="s">
        <v>270</v>
      </c>
      <c r="F169" s="18" t="s">
        <v>468</v>
      </c>
      <c r="G169" s="8">
        <v>0</v>
      </c>
      <c r="H169" s="8">
        <f t="shared" si="13"/>
        <v>0</v>
      </c>
      <c r="I169" s="9"/>
      <c r="J169" s="9">
        <f t="shared" ref="J169:J176" si="16">H169</f>
        <v>0</v>
      </c>
      <c r="K169" s="9"/>
      <c r="L169" s="10"/>
      <c r="M169" s="10"/>
    </row>
    <row r="170" spans="1:13" x14ac:dyDescent="0.2">
      <c r="A170" s="11" t="s">
        <v>469</v>
      </c>
      <c r="B170" s="11" t="s">
        <v>193</v>
      </c>
      <c r="C170" s="12" t="s">
        <v>194</v>
      </c>
      <c r="D170" s="11" t="s">
        <v>32</v>
      </c>
      <c r="E170" s="13" t="s">
        <v>206</v>
      </c>
      <c r="F170" s="13" t="s">
        <v>470</v>
      </c>
      <c r="G170" s="14">
        <v>54800</v>
      </c>
      <c r="H170" s="14">
        <f t="shared" si="13"/>
        <v>443468.83559999999</v>
      </c>
      <c r="I170" s="15"/>
      <c r="J170" s="15">
        <f t="shared" si="16"/>
        <v>443468.83559999999</v>
      </c>
      <c r="K170" s="15"/>
    </row>
    <row r="171" spans="1:13" ht="33.75" customHeight="1" x14ac:dyDescent="0.2">
      <c r="A171" s="11" t="s">
        <v>471</v>
      </c>
      <c r="B171" s="11" t="s">
        <v>158</v>
      </c>
      <c r="C171" s="12" t="s">
        <v>159</v>
      </c>
      <c r="D171" s="11" t="s">
        <v>32</v>
      </c>
      <c r="E171" s="13" t="s">
        <v>275</v>
      </c>
      <c r="F171" s="13" t="s">
        <v>472</v>
      </c>
      <c r="G171" s="14">
        <v>45270</v>
      </c>
      <c r="H171" s="14">
        <f t="shared" si="13"/>
        <v>52335.334170000002</v>
      </c>
      <c r="I171" s="15"/>
      <c r="J171" s="15">
        <f t="shared" si="16"/>
        <v>52335.334170000002</v>
      </c>
      <c r="K171" s="15"/>
    </row>
    <row r="172" spans="1:13" x14ac:dyDescent="0.2">
      <c r="A172" s="11" t="s">
        <v>473</v>
      </c>
      <c r="B172" s="11" t="s">
        <v>278</v>
      </c>
      <c r="C172" s="12" t="s">
        <v>279</v>
      </c>
      <c r="D172" s="11" t="s">
        <v>32</v>
      </c>
      <c r="E172" s="13" t="s">
        <v>280</v>
      </c>
      <c r="F172" s="13" t="s">
        <v>474</v>
      </c>
      <c r="G172" s="14">
        <v>637.55999999999995</v>
      </c>
      <c r="H172" s="14">
        <f t="shared" si="13"/>
        <v>631.76968007999994</v>
      </c>
      <c r="I172" s="15"/>
      <c r="J172" s="15">
        <f t="shared" si="16"/>
        <v>631.76968007999994</v>
      </c>
      <c r="K172" s="15"/>
    </row>
    <row r="173" spans="1:13" x14ac:dyDescent="0.2">
      <c r="A173" s="11" t="s">
        <v>475</v>
      </c>
      <c r="B173" s="11" t="s">
        <v>283</v>
      </c>
      <c r="C173" s="12" t="s">
        <v>284</v>
      </c>
      <c r="D173" s="11" t="s">
        <v>32</v>
      </c>
      <c r="E173" s="13" t="s">
        <v>285</v>
      </c>
      <c r="F173" s="13" t="s">
        <v>476</v>
      </c>
      <c r="G173" s="14">
        <v>650</v>
      </c>
      <c r="H173" s="14">
        <f t="shared" si="13"/>
        <v>7514.4615000000003</v>
      </c>
      <c r="I173" s="15"/>
      <c r="J173" s="15">
        <f t="shared" si="16"/>
        <v>7514.4615000000003</v>
      </c>
      <c r="K173" s="15"/>
    </row>
    <row r="174" spans="1:13" ht="22.5" customHeight="1" x14ac:dyDescent="0.2">
      <c r="A174" s="11" t="s">
        <v>477</v>
      </c>
      <c r="B174" s="11" t="s">
        <v>288</v>
      </c>
      <c r="C174" s="12" t="s">
        <v>289</v>
      </c>
      <c r="D174" s="11" t="s">
        <v>32</v>
      </c>
      <c r="E174" s="13" t="s">
        <v>165</v>
      </c>
      <c r="F174" s="13" t="s">
        <v>478</v>
      </c>
      <c r="G174" s="14">
        <v>25650</v>
      </c>
      <c r="H174" s="14">
        <f t="shared" si="13"/>
        <v>27535.133925000002</v>
      </c>
      <c r="I174" s="15"/>
      <c r="J174" s="15">
        <f t="shared" si="16"/>
        <v>27535.133925000002</v>
      </c>
      <c r="K174" s="15"/>
    </row>
    <row r="175" spans="1:13" x14ac:dyDescent="0.2">
      <c r="A175" s="11" t="s">
        <v>479</v>
      </c>
      <c r="B175" s="11" t="s">
        <v>292</v>
      </c>
      <c r="C175" s="12" t="s">
        <v>293</v>
      </c>
      <c r="D175" s="11" t="s">
        <v>32</v>
      </c>
      <c r="E175" s="13" t="s">
        <v>294</v>
      </c>
      <c r="F175" s="13" t="s">
        <v>480</v>
      </c>
      <c r="G175" s="14">
        <v>874.37</v>
      </c>
      <c r="H175" s="14">
        <f t="shared" si="13"/>
        <v>6209.40763023</v>
      </c>
      <c r="I175" s="15"/>
      <c r="J175" s="15">
        <f t="shared" si="16"/>
        <v>6209.40763023</v>
      </c>
      <c r="K175" s="15"/>
    </row>
    <row r="176" spans="1:13" x14ac:dyDescent="0.2">
      <c r="A176" s="11" t="s">
        <v>481</v>
      </c>
      <c r="B176" s="11" t="s">
        <v>297</v>
      </c>
      <c r="C176" s="12" t="s">
        <v>298</v>
      </c>
      <c r="D176" s="11" t="s">
        <v>32</v>
      </c>
      <c r="E176" s="13" t="s">
        <v>299</v>
      </c>
      <c r="F176" s="13" t="s">
        <v>482</v>
      </c>
      <c r="G176" s="14">
        <v>645</v>
      </c>
      <c r="H176" s="14">
        <f t="shared" si="13"/>
        <v>11184.986925000001</v>
      </c>
      <c r="I176" s="15"/>
      <c r="J176" s="15">
        <f t="shared" si="16"/>
        <v>11184.986925000001</v>
      </c>
      <c r="K176" s="15"/>
    </row>
    <row r="177" spans="1:13" x14ac:dyDescent="0.2">
      <c r="A177" s="11" t="s">
        <v>483</v>
      </c>
      <c r="B177" s="11" t="s">
        <v>302</v>
      </c>
      <c r="C177" s="12" t="s">
        <v>303</v>
      </c>
      <c r="D177" s="11" t="s">
        <v>60</v>
      </c>
      <c r="E177" s="13" t="s">
        <v>304</v>
      </c>
      <c r="F177" s="13" t="s">
        <v>484</v>
      </c>
      <c r="G177" s="14">
        <v>4500</v>
      </c>
      <c r="H177" s="14">
        <f t="shared" si="13"/>
        <v>96614.505000000005</v>
      </c>
      <c r="I177" s="15"/>
      <c r="J177" s="15"/>
      <c r="K177" s="15">
        <f t="shared" ref="K177:K187" si="17">H177</f>
        <v>96614.505000000005</v>
      </c>
    </row>
    <row r="178" spans="1:13" x14ac:dyDescent="0.2">
      <c r="A178" s="11" t="s">
        <v>485</v>
      </c>
      <c r="B178" s="11" t="s">
        <v>307</v>
      </c>
      <c r="C178" s="12" t="s">
        <v>308</v>
      </c>
      <c r="D178" s="11" t="s">
        <v>43</v>
      </c>
      <c r="E178" s="13" t="s">
        <v>309</v>
      </c>
      <c r="F178" s="13" t="s">
        <v>486</v>
      </c>
      <c r="G178" s="14">
        <v>5941000</v>
      </c>
      <c r="H178" s="14">
        <f t="shared" si="13"/>
        <v>343410.89055000001</v>
      </c>
      <c r="I178" s="15"/>
      <c r="J178" s="15"/>
      <c r="K178" s="15">
        <f t="shared" si="17"/>
        <v>343410.89055000001</v>
      </c>
    </row>
    <row r="179" spans="1:13" x14ac:dyDescent="0.2">
      <c r="A179" s="11" t="s">
        <v>487</v>
      </c>
      <c r="B179" s="11" t="s">
        <v>312</v>
      </c>
      <c r="C179" s="12" t="s">
        <v>313</v>
      </c>
      <c r="D179" s="11" t="s">
        <v>314</v>
      </c>
      <c r="E179" s="13" t="s">
        <v>315</v>
      </c>
      <c r="F179" s="13" t="s">
        <v>488</v>
      </c>
      <c r="G179" s="14">
        <v>6500</v>
      </c>
      <c r="H179" s="14">
        <f t="shared" si="13"/>
        <v>26837.362499999999</v>
      </c>
      <c r="I179" s="15"/>
      <c r="J179" s="15"/>
      <c r="K179" s="15">
        <f t="shared" si="17"/>
        <v>26837.362499999999</v>
      </c>
    </row>
    <row r="180" spans="1:13" x14ac:dyDescent="0.2">
      <c r="A180" s="11" t="s">
        <v>489</v>
      </c>
      <c r="B180" s="11" t="s">
        <v>318</v>
      </c>
      <c r="C180" s="12" t="s">
        <v>319</v>
      </c>
      <c r="D180" s="11" t="s">
        <v>320</v>
      </c>
      <c r="E180" s="13" t="s">
        <v>321</v>
      </c>
      <c r="F180" s="13" t="s">
        <v>490</v>
      </c>
      <c r="G180" s="14">
        <v>3200</v>
      </c>
      <c r="H180" s="14">
        <f t="shared" si="13"/>
        <v>47564.063999999998</v>
      </c>
      <c r="I180" s="15"/>
      <c r="J180" s="15"/>
      <c r="K180" s="15">
        <f t="shared" si="17"/>
        <v>47564.063999999998</v>
      </c>
    </row>
    <row r="181" spans="1:13" ht="33.75" customHeight="1" x14ac:dyDescent="0.2">
      <c r="A181" s="19" t="s">
        <v>491</v>
      </c>
      <c r="B181" s="19" t="s">
        <v>492</v>
      </c>
      <c r="C181" s="20" t="s">
        <v>493</v>
      </c>
      <c r="D181" s="19" t="s">
        <v>43</v>
      </c>
      <c r="E181" s="36" t="s">
        <v>494</v>
      </c>
      <c r="F181" s="36"/>
      <c r="G181" s="14">
        <v>4600000</v>
      </c>
      <c r="H181" s="14">
        <f t="shared" si="13"/>
        <v>12674793.999999998</v>
      </c>
      <c r="I181" s="15"/>
      <c r="J181" s="15"/>
      <c r="K181" s="15">
        <f t="shared" si="17"/>
        <v>12674793.999999998</v>
      </c>
    </row>
    <row r="182" spans="1:13" ht="33.75" customHeight="1" x14ac:dyDescent="0.2">
      <c r="A182" s="19" t="s">
        <v>495</v>
      </c>
      <c r="B182" s="19" t="s">
        <v>496</v>
      </c>
      <c r="C182" s="20" t="s">
        <v>497</v>
      </c>
      <c r="D182" s="19" t="s">
        <v>43</v>
      </c>
      <c r="E182" s="36" t="s">
        <v>498</v>
      </c>
      <c r="F182" s="36"/>
      <c r="G182" s="14">
        <v>4600000</v>
      </c>
      <c r="H182" s="14">
        <f t="shared" si="13"/>
        <v>7552326</v>
      </c>
      <c r="I182" s="15"/>
      <c r="J182" s="15"/>
      <c r="K182" s="15">
        <f t="shared" si="17"/>
        <v>7552326</v>
      </c>
    </row>
    <row r="183" spans="1:13" ht="33.75" customHeight="1" x14ac:dyDescent="0.2">
      <c r="A183" s="19" t="s">
        <v>499</v>
      </c>
      <c r="B183" s="19" t="s">
        <v>496</v>
      </c>
      <c r="C183" s="20" t="s">
        <v>500</v>
      </c>
      <c r="D183" s="19" t="s">
        <v>43</v>
      </c>
      <c r="E183" s="36" t="s">
        <v>501</v>
      </c>
      <c r="F183" s="36"/>
      <c r="G183" s="14" t="s">
        <v>502</v>
      </c>
      <c r="H183" s="14">
        <f t="shared" si="13"/>
        <v>0</v>
      </c>
      <c r="I183" s="15"/>
      <c r="J183" s="15"/>
      <c r="K183" s="15">
        <f t="shared" si="17"/>
        <v>0</v>
      </c>
    </row>
    <row r="184" spans="1:13" ht="33.75" customHeight="1" x14ac:dyDescent="0.2">
      <c r="A184" s="19" t="s">
        <v>503</v>
      </c>
      <c r="B184" s="19" t="s">
        <v>504</v>
      </c>
      <c r="C184" s="20" t="s">
        <v>505</v>
      </c>
      <c r="D184" s="19" t="s">
        <v>43</v>
      </c>
      <c r="E184" s="36" t="s">
        <v>506</v>
      </c>
      <c r="F184" s="36"/>
      <c r="G184" s="14">
        <v>4600000</v>
      </c>
      <c r="H184" s="14">
        <f t="shared" si="13"/>
        <v>7584158</v>
      </c>
      <c r="I184" s="15"/>
      <c r="J184" s="15"/>
      <c r="K184" s="15">
        <f t="shared" si="17"/>
        <v>7584158</v>
      </c>
    </row>
    <row r="185" spans="1:13" ht="12.75" customHeight="1" x14ac:dyDescent="0.2">
      <c r="A185" s="37"/>
      <c r="B185" s="37"/>
      <c r="C185" s="37"/>
      <c r="D185" s="37"/>
      <c r="E185" s="37"/>
      <c r="F185" s="37"/>
      <c r="G185" s="14"/>
      <c r="H185" s="14">
        <f t="shared" si="13"/>
        <v>0</v>
      </c>
      <c r="I185" s="15"/>
      <c r="J185" s="15"/>
      <c r="K185" s="15">
        <f t="shared" si="17"/>
        <v>0</v>
      </c>
    </row>
    <row r="186" spans="1:13" ht="12.75" customHeight="1" x14ac:dyDescent="0.2">
      <c r="A186" s="37" t="s">
        <v>507</v>
      </c>
      <c r="B186" s="37"/>
      <c r="C186" s="37"/>
      <c r="D186" s="37"/>
      <c r="E186" s="37"/>
      <c r="F186" s="37"/>
      <c r="G186" s="14"/>
      <c r="H186" s="14">
        <f t="shared" si="13"/>
        <v>0</v>
      </c>
      <c r="I186" s="15"/>
      <c r="J186" s="15"/>
      <c r="K186" s="15">
        <f t="shared" si="17"/>
        <v>0</v>
      </c>
    </row>
    <row r="187" spans="1:13" ht="33.75" customHeight="1" x14ac:dyDescent="0.2">
      <c r="A187" s="6" t="s">
        <v>508</v>
      </c>
      <c r="B187" s="6" t="s">
        <v>509</v>
      </c>
      <c r="C187" s="7" t="s">
        <v>510</v>
      </c>
      <c r="D187" s="6" t="s">
        <v>118</v>
      </c>
      <c r="E187" s="35" t="s">
        <v>511</v>
      </c>
      <c r="F187" s="35"/>
      <c r="G187" s="8">
        <v>0</v>
      </c>
      <c r="H187" s="8">
        <f t="shared" si="13"/>
        <v>0</v>
      </c>
      <c r="I187" s="9"/>
      <c r="J187" s="9"/>
      <c r="K187" s="9">
        <f t="shared" si="17"/>
        <v>0</v>
      </c>
      <c r="L187" s="10"/>
      <c r="M187" s="10"/>
    </row>
    <row r="188" spans="1:13" x14ac:dyDescent="0.2">
      <c r="A188" s="11" t="s">
        <v>512</v>
      </c>
      <c r="B188" s="11" t="s">
        <v>19</v>
      </c>
      <c r="C188" s="12" t="s">
        <v>20</v>
      </c>
      <c r="D188" s="11" t="s">
        <v>21</v>
      </c>
      <c r="E188" s="13" t="s">
        <v>513</v>
      </c>
      <c r="F188" s="13" t="s">
        <v>514</v>
      </c>
      <c r="G188" s="14">
        <v>15807.93</v>
      </c>
      <c r="H188" s="14">
        <f t="shared" si="13"/>
        <v>11440327.9337088</v>
      </c>
      <c r="I188" s="15">
        <f>H188</f>
        <v>11440327.9337088</v>
      </c>
      <c r="J188" s="15"/>
      <c r="K188" s="15"/>
    </row>
    <row r="189" spans="1:13" x14ac:dyDescent="0.2">
      <c r="A189" s="16" t="s">
        <v>515</v>
      </c>
      <c r="B189" s="16" t="s">
        <v>25</v>
      </c>
      <c r="C189" s="17" t="s">
        <v>26</v>
      </c>
      <c r="D189" s="16" t="s">
        <v>21</v>
      </c>
      <c r="E189" s="18" t="s">
        <v>516</v>
      </c>
      <c r="F189" s="18" t="s">
        <v>517</v>
      </c>
      <c r="G189" s="8">
        <v>0</v>
      </c>
      <c r="H189" s="8">
        <f t="shared" si="13"/>
        <v>0</v>
      </c>
      <c r="I189" s="9"/>
      <c r="J189" s="9">
        <f t="shared" ref="J189:J196" si="18">H189</f>
        <v>0</v>
      </c>
      <c r="K189" s="9"/>
      <c r="L189" s="10"/>
      <c r="M189" s="10"/>
    </row>
    <row r="190" spans="1:13" x14ac:dyDescent="0.2">
      <c r="A190" s="11" t="s">
        <v>518</v>
      </c>
      <c r="B190" s="11" t="s">
        <v>193</v>
      </c>
      <c r="C190" s="12" t="s">
        <v>194</v>
      </c>
      <c r="D190" s="11" t="s">
        <v>32</v>
      </c>
      <c r="E190" s="13" t="s">
        <v>195</v>
      </c>
      <c r="F190" s="13" t="s">
        <v>519</v>
      </c>
      <c r="G190" s="14">
        <v>54800</v>
      </c>
      <c r="H190" s="14">
        <f t="shared" si="13"/>
        <v>15328.656000000001</v>
      </c>
      <c r="I190" s="15"/>
      <c r="J190" s="15">
        <f t="shared" si="18"/>
        <v>15328.656000000001</v>
      </c>
      <c r="K190" s="15"/>
    </row>
    <row r="191" spans="1:13" x14ac:dyDescent="0.2">
      <c r="A191" s="11" t="s">
        <v>520</v>
      </c>
      <c r="B191" s="11" t="s">
        <v>153</v>
      </c>
      <c r="C191" s="12" t="s">
        <v>154</v>
      </c>
      <c r="D191" s="11" t="s">
        <v>32</v>
      </c>
      <c r="E191" s="13" t="s">
        <v>521</v>
      </c>
      <c r="F191" s="13" t="s">
        <v>522</v>
      </c>
      <c r="G191" s="14">
        <v>580</v>
      </c>
      <c r="H191" s="14">
        <f t="shared" si="13"/>
        <v>21162.993600000002</v>
      </c>
      <c r="I191" s="15"/>
      <c r="J191" s="15">
        <f t="shared" si="18"/>
        <v>21162.993600000002</v>
      </c>
      <c r="K191" s="15"/>
    </row>
    <row r="192" spans="1:13" ht="33.75" customHeight="1" x14ac:dyDescent="0.2">
      <c r="A192" s="11" t="s">
        <v>523</v>
      </c>
      <c r="B192" s="11" t="s">
        <v>158</v>
      </c>
      <c r="C192" s="12" t="s">
        <v>159</v>
      </c>
      <c r="D192" s="11" t="s">
        <v>32</v>
      </c>
      <c r="E192" s="13" t="s">
        <v>524</v>
      </c>
      <c r="F192" s="13" t="s">
        <v>525</v>
      </c>
      <c r="G192" s="14">
        <v>45270</v>
      </c>
      <c r="H192" s="14">
        <f t="shared" si="13"/>
        <v>1467961.236</v>
      </c>
      <c r="I192" s="15"/>
      <c r="J192" s="15">
        <f t="shared" si="18"/>
        <v>1467961.236</v>
      </c>
      <c r="K192" s="15"/>
    </row>
    <row r="193" spans="1:13" ht="33.75" customHeight="1" x14ac:dyDescent="0.2">
      <c r="A193" s="11" t="s">
        <v>526</v>
      </c>
      <c r="B193" s="11" t="s">
        <v>204</v>
      </c>
      <c r="C193" s="12" t="s">
        <v>205</v>
      </c>
      <c r="D193" s="11" t="s">
        <v>32</v>
      </c>
      <c r="E193" s="13" t="s">
        <v>527</v>
      </c>
      <c r="F193" s="13" t="s">
        <v>528</v>
      </c>
      <c r="G193" s="14">
        <v>102000</v>
      </c>
      <c r="H193" s="14">
        <f t="shared" si="13"/>
        <v>192323.04</v>
      </c>
      <c r="I193" s="15"/>
      <c r="J193" s="15">
        <f t="shared" si="18"/>
        <v>192323.04</v>
      </c>
      <c r="K193" s="15"/>
    </row>
    <row r="194" spans="1:13" x14ac:dyDescent="0.2">
      <c r="A194" s="11" t="s">
        <v>529</v>
      </c>
      <c r="B194" s="11" t="s">
        <v>209</v>
      </c>
      <c r="C194" s="12" t="s">
        <v>210</v>
      </c>
      <c r="D194" s="11" t="s">
        <v>32</v>
      </c>
      <c r="E194" s="13" t="s">
        <v>530</v>
      </c>
      <c r="F194" s="13" t="s">
        <v>531</v>
      </c>
      <c r="G194" s="14">
        <v>873</v>
      </c>
      <c r="H194" s="14">
        <f t="shared" si="13"/>
        <v>1157.6678399999998</v>
      </c>
      <c r="I194" s="15"/>
      <c r="J194" s="15">
        <f t="shared" si="18"/>
        <v>1157.6678399999998</v>
      </c>
      <c r="K194" s="15"/>
    </row>
    <row r="195" spans="1:13" ht="22.5" customHeight="1" x14ac:dyDescent="0.2">
      <c r="A195" s="11" t="s">
        <v>532</v>
      </c>
      <c r="B195" s="11" t="s">
        <v>214</v>
      </c>
      <c r="C195" s="12" t="s">
        <v>215</v>
      </c>
      <c r="D195" s="11" t="s">
        <v>32</v>
      </c>
      <c r="E195" s="13" t="s">
        <v>533</v>
      </c>
      <c r="F195" s="13" t="s">
        <v>534</v>
      </c>
      <c r="G195" s="14">
        <v>3200</v>
      </c>
      <c r="H195" s="14">
        <f t="shared" si="13"/>
        <v>220924.92800000001</v>
      </c>
      <c r="I195" s="15"/>
      <c r="J195" s="15">
        <f t="shared" si="18"/>
        <v>220924.92800000001</v>
      </c>
      <c r="K195" s="15"/>
    </row>
    <row r="196" spans="1:13" ht="22.5" customHeight="1" x14ac:dyDescent="0.2">
      <c r="A196" s="11" t="s">
        <v>535</v>
      </c>
      <c r="B196" s="11" t="s">
        <v>163</v>
      </c>
      <c r="C196" s="12" t="s">
        <v>164</v>
      </c>
      <c r="D196" s="11" t="s">
        <v>32</v>
      </c>
      <c r="E196" s="13" t="s">
        <v>536</v>
      </c>
      <c r="F196" s="13" t="s">
        <v>537</v>
      </c>
      <c r="G196" s="14">
        <v>52621.06</v>
      </c>
      <c r="H196" s="14">
        <f t="shared" si="13"/>
        <v>148827.09157679998</v>
      </c>
      <c r="I196" s="15"/>
      <c r="J196" s="15">
        <f t="shared" si="18"/>
        <v>148827.09157679998</v>
      </c>
      <c r="K196" s="15"/>
    </row>
    <row r="197" spans="1:13" x14ac:dyDescent="0.2">
      <c r="A197" s="11" t="s">
        <v>538</v>
      </c>
      <c r="B197" s="11" t="s">
        <v>168</v>
      </c>
      <c r="C197" s="12" t="s">
        <v>105</v>
      </c>
      <c r="D197" s="11" t="s">
        <v>60</v>
      </c>
      <c r="E197" s="13" t="s">
        <v>539</v>
      </c>
      <c r="F197" s="13" t="s">
        <v>540</v>
      </c>
      <c r="G197" s="14">
        <v>0</v>
      </c>
      <c r="H197" s="14">
        <f t="shared" si="13"/>
        <v>0</v>
      </c>
      <c r="I197" s="15"/>
      <c r="J197" s="15"/>
      <c r="K197" s="15">
        <f t="shared" ref="K197:K206" si="19">H197</f>
        <v>0</v>
      </c>
    </row>
    <row r="198" spans="1:13" x14ac:dyDescent="0.2">
      <c r="A198" s="11" t="s">
        <v>541</v>
      </c>
      <c r="B198" s="11" t="s">
        <v>225</v>
      </c>
      <c r="C198" s="12" t="s">
        <v>226</v>
      </c>
      <c r="D198" s="11" t="s">
        <v>60</v>
      </c>
      <c r="E198" s="13" t="s">
        <v>227</v>
      </c>
      <c r="F198" s="13" t="s">
        <v>542</v>
      </c>
      <c r="G198" s="14">
        <v>400000</v>
      </c>
      <c r="H198" s="14">
        <f t="shared" si="13"/>
        <v>42061600</v>
      </c>
      <c r="I198" s="15"/>
      <c r="J198" s="15"/>
      <c r="K198" s="15">
        <f t="shared" si="19"/>
        <v>42061600</v>
      </c>
    </row>
    <row r="199" spans="1:13" x14ac:dyDescent="0.2">
      <c r="A199" s="11" t="s">
        <v>543</v>
      </c>
      <c r="B199" s="11" t="s">
        <v>544</v>
      </c>
      <c r="C199" s="12" t="s">
        <v>545</v>
      </c>
      <c r="D199" s="11" t="s">
        <v>43</v>
      </c>
      <c r="E199" s="13" t="s">
        <v>546</v>
      </c>
      <c r="F199" s="13" t="s">
        <v>547</v>
      </c>
      <c r="G199" s="14">
        <v>13000000</v>
      </c>
      <c r="H199" s="14">
        <f t="shared" si="13"/>
        <v>1077440</v>
      </c>
      <c r="I199" s="15"/>
      <c r="J199" s="15"/>
      <c r="K199" s="15">
        <f t="shared" si="19"/>
        <v>1077440</v>
      </c>
    </row>
    <row r="200" spans="1:13" x14ac:dyDescent="0.2">
      <c r="A200" s="11" t="s">
        <v>548</v>
      </c>
      <c r="B200" s="11" t="s">
        <v>230</v>
      </c>
      <c r="C200" s="12" t="s">
        <v>231</v>
      </c>
      <c r="D200" s="11" t="s">
        <v>43</v>
      </c>
      <c r="E200" s="13" t="s">
        <v>549</v>
      </c>
      <c r="F200" s="13" t="s">
        <v>550</v>
      </c>
      <c r="G200" s="14">
        <v>8200000</v>
      </c>
      <c r="H200" s="14">
        <f t="shared" si="13"/>
        <v>433255.2</v>
      </c>
      <c r="I200" s="15"/>
      <c r="J200" s="15"/>
      <c r="K200" s="15">
        <f t="shared" si="19"/>
        <v>433255.2</v>
      </c>
    </row>
    <row r="201" spans="1:13" ht="22.5" customHeight="1" x14ac:dyDescent="0.2">
      <c r="A201" s="11" t="s">
        <v>551</v>
      </c>
      <c r="B201" s="11" t="s">
        <v>235</v>
      </c>
      <c r="C201" s="12" t="s">
        <v>236</v>
      </c>
      <c r="D201" s="11" t="s">
        <v>43</v>
      </c>
      <c r="E201" s="13" t="s">
        <v>552</v>
      </c>
      <c r="F201" s="13" t="s">
        <v>553</v>
      </c>
      <c r="G201" s="14">
        <v>650000</v>
      </c>
      <c r="H201" s="14">
        <f t="shared" si="13"/>
        <v>30303</v>
      </c>
      <c r="I201" s="15"/>
      <c r="J201" s="15"/>
      <c r="K201" s="15">
        <f t="shared" si="19"/>
        <v>30303</v>
      </c>
    </row>
    <row r="202" spans="1:13" x14ac:dyDescent="0.2">
      <c r="A202" s="11" t="s">
        <v>554</v>
      </c>
      <c r="B202" s="11" t="s">
        <v>245</v>
      </c>
      <c r="C202" s="12" t="s">
        <v>246</v>
      </c>
      <c r="D202" s="11" t="s">
        <v>43</v>
      </c>
      <c r="E202" s="13" t="s">
        <v>546</v>
      </c>
      <c r="F202" s="13" t="s">
        <v>547</v>
      </c>
      <c r="G202" s="14">
        <v>10300000</v>
      </c>
      <c r="H202" s="14">
        <f t="shared" si="13"/>
        <v>853664</v>
      </c>
      <c r="I202" s="15"/>
      <c r="J202" s="15"/>
      <c r="K202" s="15">
        <f t="shared" si="19"/>
        <v>853664</v>
      </c>
    </row>
    <row r="203" spans="1:13" ht="33.75" customHeight="1" x14ac:dyDescent="0.2">
      <c r="A203" s="11" t="s">
        <v>555</v>
      </c>
      <c r="B203" s="11" t="s">
        <v>556</v>
      </c>
      <c r="C203" s="12" t="s">
        <v>557</v>
      </c>
      <c r="D203" s="11" t="s">
        <v>60</v>
      </c>
      <c r="E203" s="13" t="s">
        <v>280</v>
      </c>
      <c r="F203" s="13" t="s">
        <v>558</v>
      </c>
      <c r="G203" s="14">
        <v>2000000</v>
      </c>
      <c r="H203" s="14">
        <f t="shared" si="13"/>
        <v>248640</v>
      </c>
      <c r="I203" s="15"/>
      <c r="J203" s="15"/>
      <c r="K203" s="15">
        <f t="shared" si="19"/>
        <v>248640</v>
      </c>
    </row>
    <row r="204" spans="1:13" ht="33.75" customHeight="1" x14ac:dyDescent="0.2">
      <c r="A204" s="11" t="s">
        <v>559</v>
      </c>
      <c r="B204" s="11" t="s">
        <v>253</v>
      </c>
      <c r="C204" s="12" t="s">
        <v>254</v>
      </c>
      <c r="D204" s="11" t="s">
        <v>60</v>
      </c>
      <c r="E204" s="13" t="s">
        <v>560</v>
      </c>
      <c r="F204" s="13" t="s">
        <v>561</v>
      </c>
      <c r="G204" s="14">
        <v>2000000</v>
      </c>
      <c r="H204" s="14">
        <f t="shared" si="13"/>
        <v>2962960</v>
      </c>
      <c r="I204" s="15"/>
      <c r="J204" s="15"/>
      <c r="K204" s="15">
        <f t="shared" si="19"/>
        <v>2962960</v>
      </c>
    </row>
    <row r="205" spans="1:13" x14ac:dyDescent="0.2">
      <c r="A205" s="11" t="s">
        <v>562</v>
      </c>
      <c r="B205" s="11" t="s">
        <v>563</v>
      </c>
      <c r="C205" s="12" t="s">
        <v>564</v>
      </c>
      <c r="D205" s="11" t="s">
        <v>179</v>
      </c>
      <c r="E205" s="13" t="s">
        <v>565</v>
      </c>
      <c r="F205" s="13" t="s">
        <v>566</v>
      </c>
      <c r="G205" s="14">
        <v>25000</v>
      </c>
      <c r="H205" s="14">
        <f t="shared" si="13"/>
        <v>1942500</v>
      </c>
      <c r="I205" s="15"/>
      <c r="J205" s="15"/>
      <c r="K205" s="15">
        <f t="shared" si="19"/>
        <v>1942500</v>
      </c>
    </row>
    <row r="206" spans="1:13" ht="33.75" customHeight="1" x14ac:dyDescent="0.2">
      <c r="A206" s="6" t="s">
        <v>250</v>
      </c>
      <c r="B206" s="6" t="s">
        <v>263</v>
      </c>
      <c r="C206" s="7" t="s">
        <v>264</v>
      </c>
      <c r="D206" s="6" t="s">
        <v>43</v>
      </c>
      <c r="E206" s="35" t="s">
        <v>567</v>
      </c>
      <c r="F206" s="35"/>
      <c r="G206" s="8">
        <v>0</v>
      </c>
      <c r="H206" s="8">
        <f t="shared" si="13"/>
        <v>0</v>
      </c>
      <c r="I206" s="9"/>
      <c r="J206" s="9"/>
      <c r="K206" s="9">
        <f t="shared" si="19"/>
        <v>0</v>
      </c>
      <c r="L206" s="10"/>
      <c r="M206" s="10"/>
    </row>
    <row r="207" spans="1:13" ht="22.5" customHeight="1" x14ac:dyDescent="0.2">
      <c r="A207" s="11" t="s">
        <v>568</v>
      </c>
      <c r="B207" s="11" t="s">
        <v>19</v>
      </c>
      <c r="C207" s="12" t="s">
        <v>20</v>
      </c>
      <c r="D207" s="11" t="s">
        <v>21</v>
      </c>
      <c r="E207" s="13" t="s">
        <v>267</v>
      </c>
      <c r="F207" s="13" t="s">
        <v>569</v>
      </c>
      <c r="G207" s="14">
        <v>15807.93</v>
      </c>
      <c r="H207" s="14">
        <f t="shared" si="13"/>
        <v>14733444.864920352</v>
      </c>
      <c r="I207" s="15">
        <f>H207</f>
        <v>14733444.864920352</v>
      </c>
      <c r="J207" s="15"/>
      <c r="K207" s="15"/>
    </row>
    <row r="208" spans="1:13" x14ac:dyDescent="0.2">
      <c r="A208" s="16" t="s">
        <v>570</v>
      </c>
      <c r="B208" s="16" t="s">
        <v>25</v>
      </c>
      <c r="C208" s="17" t="s">
        <v>26</v>
      </c>
      <c r="D208" s="16" t="s">
        <v>21</v>
      </c>
      <c r="E208" s="18" t="s">
        <v>270</v>
      </c>
      <c r="F208" s="18" t="s">
        <v>571</v>
      </c>
      <c r="G208" s="8">
        <v>0</v>
      </c>
      <c r="H208" s="8">
        <f t="shared" ref="H208:H271" si="20">IF(ISNUMBER(G208),IF(F208="",E208*G208,F208*G208),0)</f>
        <v>0</v>
      </c>
      <c r="I208" s="9"/>
      <c r="J208" s="9">
        <f t="shared" ref="J208:J215" si="21">H208</f>
        <v>0</v>
      </c>
      <c r="K208" s="9"/>
      <c r="L208" s="10"/>
      <c r="M208" s="10"/>
    </row>
    <row r="209" spans="1:13" x14ac:dyDescent="0.2">
      <c r="A209" s="11" t="s">
        <v>572</v>
      </c>
      <c r="B209" s="11" t="s">
        <v>193</v>
      </c>
      <c r="C209" s="12" t="s">
        <v>194</v>
      </c>
      <c r="D209" s="11" t="s">
        <v>32</v>
      </c>
      <c r="E209" s="13" t="s">
        <v>206</v>
      </c>
      <c r="F209" s="13" t="s">
        <v>573</v>
      </c>
      <c r="G209" s="14">
        <v>54800</v>
      </c>
      <c r="H209" s="14">
        <f t="shared" si="20"/>
        <v>634554.64912000007</v>
      </c>
      <c r="I209" s="15"/>
      <c r="J209" s="15">
        <f t="shared" si="21"/>
        <v>634554.64912000007</v>
      </c>
      <c r="K209" s="15"/>
    </row>
    <row r="210" spans="1:13" ht="33.75" customHeight="1" x14ac:dyDescent="0.2">
      <c r="A210" s="11" t="s">
        <v>574</v>
      </c>
      <c r="B210" s="11" t="s">
        <v>158</v>
      </c>
      <c r="C210" s="12" t="s">
        <v>159</v>
      </c>
      <c r="D210" s="11" t="s">
        <v>32</v>
      </c>
      <c r="E210" s="13" t="s">
        <v>275</v>
      </c>
      <c r="F210" s="13" t="s">
        <v>575</v>
      </c>
      <c r="G210" s="14">
        <v>45270</v>
      </c>
      <c r="H210" s="14">
        <f t="shared" si="20"/>
        <v>74886.050483999992</v>
      </c>
      <c r="I210" s="15"/>
      <c r="J210" s="15">
        <f t="shared" si="21"/>
        <v>74886.050483999992</v>
      </c>
      <c r="K210" s="15"/>
    </row>
    <row r="211" spans="1:13" x14ac:dyDescent="0.2">
      <c r="A211" s="11" t="s">
        <v>576</v>
      </c>
      <c r="B211" s="11" t="s">
        <v>278</v>
      </c>
      <c r="C211" s="12" t="s">
        <v>279</v>
      </c>
      <c r="D211" s="11" t="s">
        <v>32</v>
      </c>
      <c r="E211" s="13" t="s">
        <v>280</v>
      </c>
      <c r="F211" s="13" t="s">
        <v>577</v>
      </c>
      <c r="G211" s="14">
        <v>637.55999999999995</v>
      </c>
      <c r="H211" s="14">
        <f t="shared" si="20"/>
        <v>903.99224361599988</v>
      </c>
      <c r="I211" s="15"/>
      <c r="J211" s="15">
        <f t="shared" si="21"/>
        <v>903.99224361599988</v>
      </c>
      <c r="K211" s="15"/>
    </row>
    <row r="212" spans="1:13" x14ac:dyDescent="0.2">
      <c r="A212" s="11" t="s">
        <v>578</v>
      </c>
      <c r="B212" s="11" t="s">
        <v>283</v>
      </c>
      <c r="C212" s="12" t="s">
        <v>284</v>
      </c>
      <c r="D212" s="11" t="s">
        <v>32</v>
      </c>
      <c r="E212" s="13" t="s">
        <v>285</v>
      </c>
      <c r="F212" s="13" t="s">
        <v>579</v>
      </c>
      <c r="G212" s="14">
        <v>650</v>
      </c>
      <c r="H212" s="14">
        <f t="shared" si="20"/>
        <v>10752.3598</v>
      </c>
      <c r="I212" s="15"/>
      <c r="J212" s="15">
        <f t="shared" si="21"/>
        <v>10752.3598</v>
      </c>
      <c r="K212" s="15"/>
    </row>
    <row r="213" spans="1:13" ht="22.5" customHeight="1" x14ac:dyDescent="0.2">
      <c r="A213" s="11" t="s">
        <v>580</v>
      </c>
      <c r="B213" s="11" t="s">
        <v>288</v>
      </c>
      <c r="C213" s="12" t="s">
        <v>289</v>
      </c>
      <c r="D213" s="11" t="s">
        <v>32</v>
      </c>
      <c r="E213" s="13" t="s">
        <v>165</v>
      </c>
      <c r="F213" s="13" t="s">
        <v>581</v>
      </c>
      <c r="G213" s="14">
        <v>25650</v>
      </c>
      <c r="H213" s="14">
        <f t="shared" si="20"/>
        <v>39399.718410000001</v>
      </c>
      <c r="I213" s="15"/>
      <c r="J213" s="15">
        <f t="shared" si="21"/>
        <v>39399.718410000001</v>
      </c>
      <c r="K213" s="15"/>
    </row>
    <row r="214" spans="1:13" x14ac:dyDescent="0.2">
      <c r="A214" s="11" t="s">
        <v>582</v>
      </c>
      <c r="B214" s="11" t="s">
        <v>292</v>
      </c>
      <c r="C214" s="12" t="s">
        <v>293</v>
      </c>
      <c r="D214" s="11" t="s">
        <v>32</v>
      </c>
      <c r="E214" s="13" t="s">
        <v>294</v>
      </c>
      <c r="F214" s="13" t="s">
        <v>583</v>
      </c>
      <c r="G214" s="14">
        <v>874.37</v>
      </c>
      <c r="H214" s="14">
        <f t="shared" si="20"/>
        <v>8884.9726603960007</v>
      </c>
      <c r="I214" s="15"/>
      <c r="J214" s="15">
        <f t="shared" si="21"/>
        <v>8884.9726603960007</v>
      </c>
      <c r="K214" s="15"/>
    </row>
    <row r="215" spans="1:13" x14ac:dyDescent="0.2">
      <c r="A215" s="11" t="s">
        <v>584</v>
      </c>
      <c r="B215" s="11" t="s">
        <v>297</v>
      </c>
      <c r="C215" s="12" t="s">
        <v>298</v>
      </c>
      <c r="D215" s="11" t="s">
        <v>32</v>
      </c>
      <c r="E215" s="13" t="s">
        <v>299</v>
      </c>
      <c r="F215" s="13" t="s">
        <v>585</v>
      </c>
      <c r="G215" s="14">
        <v>645</v>
      </c>
      <c r="H215" s="14">
        <f t="shared" si="20"/>
        <v>16004.47401</v>
      </c>
      <c r="I215" s="15"/>
      <c r="J215" s="15">
        <f t="shared" si="21"/>
        <v>16004.47401</v>
      </c>
      <c r="K215" s="15"/>
    </row>
    <row r="216" spans="1:13" x14ac:dyDescent="0.2">
      <c r="A216" s="11" t="s">
        <v>586</v>
      </c>
      <c r="B216" s="11" t="s">
        <v>302</v>
      </c>
      <c r="C216" s="12" t="s">
        <v>303</v>
      </c>
      <c r="D216" s="11" t="s">
        <v>60</v>
      </c>
      <c r="E216" s="13" t="s">
        <v>304</v>
      </c>
      <c r="F216" s="13" t="s">
        <v>587</v>
      </c>
      <c r="G216" s="14">
        <v>4500</v>
      </c>
      <c r="H216" s="14">
        <f t="shared" si="20"/>
        <v>138244.62599999999</v>
      </c>
      <c r="I216" s="15"/>
      <c r="J216" s="15"/>
      <c r="K216" s="15">
        <f t="shared" ref="K216:K222" si="22">H216</f>
        <v>138244.62599999999</v>
      </c>
    </row>
    <row r="217" spans="1:13" x14ac:dyDescent="0.2">
      <c r="A217" s="11" t="s">
        <v>588</v>
      </c>
      <c r="B217" s="11" t="s">
        <v>307</v>
      </c>
      <c r="C217" s="12" t="s">
        <v>308</v>
      </c>
      <c r="D217" s="11" t="s">
        <v>43</v>
      </c>
      <c r="E217" s="13" t="s">
        <v>309</v>
      </c>
      <c r="F217" s="13" t="s">
        <v>589</v>
      </c>
      <c r="G217" s="14">
        <v>5941000</v>
      </c>
      <c r="H217" s="14">
        <f t="shared" si="20"/>
        <v>491382.84285999998</v>
      </c>
      <c r="I217" s="15"/>
      <c r="J217" s="15"/>
      <c r="K217" s="15">
        <f t="shared" si="22"/>
        <v>491382.84285999998</v>
      </c>
    </row>
    <row r="218" spans="1:13" x14ac:dyDescent="0.2">
      <c r="A218" s="11" t="s">
        <v>590</v>
      </c>
      <c r="B218" s="11" t="s">
        <v>312</v>
      </c>
      <c r="C218" s="12" t="s">
        <v>313</v>
      </c>
      <c r="D218" s="11" t="s">
        <v>314</v>
      </c>
      <c r="E218" s="13" t="s">
        <v>315</v>
      </c>
      <c r="F218" s="13" t="s">
        <v>591</v>
      </c>
      <c r="G218" s="14">
        <v>6500</v>
      </c>
      <c r="H218" s="14">
        <f t="shared" si="20"/>
        <v>38401.285000000003</v>
      </c>
      <c r="I218" s="15"/>
      <c r="J218" s="15"/>
      <c r="K218" s="15">
        <f t="shared" si="22"/>
        <v>38401.285000000003</v>
      </c>
    </row>
    <row r="219" spans="1:13" x14ac:dyDescent="0.2">
      <c r="A219" s="11" t="s">
        <v>592</v>
      </c>
      <c r="B219" s="11" t="s">
        <v>318</v>
      </c>
      <c r="C219" s="12" t="s">
        <v>319</v>
      </c>
      <c r="D219" s="11" t="s">
        <v>320</v>
      </c>
      <c r="E219" s="13" t="s">
        <v>321</v>
      </c>
      <c r="F219" s="13" t="s">
        <v>593</v>
      </c>
      <c r="G219" s="14">
        <v>3200</v>
      </c>
      <c r="H219" s="14">
        <f t="shared" si="20"/>
        <v>68058.892800000001</v>
      </c>
      <c r="I219" s="15"/>
      <c r="J219" s="15"/>
      <c r="K219" s="15">
        <f t="shared" si="22"/>
        <v>68058.892800000001</v>
      </c>
    </row>
    <row r="220" spans="1:13" ht="33.75" customHeight="1" x14ac:dyDescent="0.2">
      <c r="A220" s="19" t="s">
        <v>594</v>
      </c>
      <c r="B220" s="19" t="s">
        <v>595</v>
      </c>
      <c r="C220" s="20" t="s">
        <v>596</v>
      </c>
      <c r="D220" s="19" t="s">
        <v>43</v>
      </c>
      <c r="E220" s="36" t="s">
        <v>597</v>
      </c>
      <c r="F220" s="36"/>
      <c r="G220" s="14">
        <v>4600000</v>
      </c>
      <c r="H220" s="14">
        <f t="shared" si="20"/>
        <v>53755278.000000007</v>
      </c>
      <c r="I220" s="15"/>
      <c r="J220" s="15"/>
      <c r="K220" s="15">
        <f t="shared" si="22"/>
        <v>53755278.000000007</v>
      </c>
    </row>
    <row r="221" spans="1:13" ht="22.5" customHeight="1" x14ac:dyDescent="0.2">
      <c r="A221" s="19" t="s">
        <v>598</v>
      </c>
      <c r="B221" s="19" t="s">
        <v>599</v>
      </c>
      <c r="C221" s="20" t="s">
        <v>600</v>
      </c>
      <c r="D221" s="19" t="s">
        <v>43</v>
      </c>
      <c r="E221" s="36" t="s">
        <v>601</v>
      </c>
      <c r="F221" s="36"/>
      <c r="G221" s="14">
        <v>4600000</v>
      </c>
      <c r="H221" s="14">
        <f t="shared" si="20"/>
        <v>1684382</v>
      </c>
      <c r="I221" s="15"/>
      <c r="J221" s="15"/>
      <c r="K221" s="15">
        <f t="shared" si="22"/>
        <v>1684382</v>
      </c>
    </row>
    <row r="222" spans="1:13" ht="45" customHeight="1" x14ac:dyDescent="0.2">
      <c r="A222" s="6" t="s">
        <v>602</v>
      </c>
      <c r="B222" s="6" t="s">
        <v>603</v>
      </c>
      <c r="C222" s="7" t="s">
        <v>604</v>
      </c>
      <c r="D222" s="6" t="s">
        <v>605</v>
      </c>
      <c r="E222" s="35" t="s">
        <v>606</v>
      </c>
      <c r="F222" s="35"/>
      <c r="G222" s="8">
        <v>0</v>
      </c>
      <c r="H222" s="8">
        <f t="shared" si="20"/>
        <v>0</v>
      </c>
      <c r="I222" s="9"/>
      <c r="J222" s="9"/>
      <c r="K222" s="9">
        <f t="shared" si="22"/>
        <v>0</v>
      </c>
      <c r="L222" s="10"/>
      <c r="M222" s="10"/>
    </row>
    <row r="223" spans="1:13" x14ac:dyDescent="0.2">
      <c r="A223" s="11" t="s">
        <v>607</v>
      </c>
      <c r="B223" s="11" t="s">
        <v>19</v>
      </c>
      <c r="C223" s="12" t="s">
        <v>20</v>
      </c>
      <c r="D223" s="11" t="s">
        <v>21</v>
      </c>
      <c r="E223" s="13" t="s">
        <v>608</v>
      </c>
      <c r="F223" s="13" t="s">
        <v>609</v>
      </c>
      <c r="G223" s="14">
        <v>15807.93</v>
      </c>
      <c r="H223" s="14">
        <f t="shared" si="20"/>
        <v>2197855.5475499998</v>
      </c>
      <c r="I223" s="15">
        <f>H223</f>
        <v>2197855.5475499998</v>
      </c>
      <c r="J223" s="15"/>
      <c r="K223" s="15"/>
    </row>
    <row r="224" spans="1:13" x14ac:dyDescent="0.2">
      <c r="A224" s="16" t="s">
        <v>610</v>
      </c>
      <c r="B224" s="16" t="s">
        <v>25</v>
      </c>
      <c r="C224" s="17" t="s">
        <v>26</v>
      </c>
      <c r="D224" s="16" t="s">
        <v>21</v>
      </c>
      <c r="E224" s="18" t="s">
        <v>285</v>
      </c>
      <c r="F224" s="18" t="s">
        <v>611</v>
      </c>
      <c r="G224" s="8">
        <v>0</v>
      </c>
      <c r="H224" s="8">
        <f t="shared" si="20"/>
        <v>0</v>
      </c>
      <c r="I224" s="9"/>
      <c r="J224" s="9">
        <f>H224</f>
        <v>0</v>
      </c>
      <c r="K224" s="9"/>
      <c r="L224" s="10"/>
      <c r="M224" s="10"/>
    </row>
    <row r="225" spans="1:13" ht="33.75" customHeight="1" x14ac:dyDescent="0.2">
      <c r="A225" s="11" t="s">
        <v>612</v>
      </c>
      <c r="B225" s="11" t="s">
        <v>613</v>
      </c>
      <c r="C225" s="12" t="s">
        <v>614</v>
      </c>
      <c r="D225" s="11" t="s">
        <v>32</v>
      </c>
      <c r="E225" s="13" t="s">
        <v>13</v>
      </c>
      <c r="F225" s="13" t="s">
        <v>606</v>
      </c>
      <c r="G225" s="14">
        <v>32490</v>
      </c>
      <c r="H225" s="14">
        <f t="shared" si="20"/>
        <v>151078.5</v>
      </c>
      <c r="I225" s="15"/>
      <c r="J225" s="15">
        <f>H225</f>
        <v>151078.5</v>
      </c>
      <c r="K225" s="15"/>
    </row>
    <row r="226" spans="1:13" x14ac:dyDescent="0.2">
      <c r="A226" s="11" t="s">
        <v>615</v>
      </c>
      <c r="B226" s="11" t="s">
        <v>616</v>
      </c>
      <c r="C226" s="12" t="s">
        <v>617</v>
      </c>
      <c r="D226" s="11" t="s">
        <v>32</v>
      </c>
      <c r="E226" s="13" t="s">
        <v>40</v>
      </c>
      <c r="F226" s="13" t="s">
        <v>618</v>
      </c>
      <c r="G226" s="14">
        <v>3380.89</v>
      </c>
      <c r="H226" s="14">
        <f t="shared" si="20"/>
        <v>31442.277000000002</v>
      </c>
      <c r="I226" s="15"/>
      <c r="J226" s="15">
        <f>H226</f>
        <v>31442.277000000002</v>
      </c>
      <c r="K226" s="15"/>
    </row>
    <row r="227" spans="1:13" x14ac:dyDescent="0.2">
      <c r="A227" s="11" t="s">
        <v>619</v>
      </c>
      <c r="B227" s="11" t="s">
        <v>620</v>
      </c>
      <c r="C227" s="12" t="s">
        <v>621</v>
      </c>
      <c r="D227" s="11" t="s">
        <v>32</v>
      </c>
      <c r="E227" s="13" t="s">
        <v>622</v>
      </c>
      <c r="F227" s="13" t="s">
        <v>623</v>
      </c>
      <c r="G227" s="14">
        <v>11587.2</v>
      </c>
      <c r="H227" s="14">
        <f t="shared" si="20"/>
        <v>8082.072000000001</v>
      </c>
      <c r="I227" s="15"/>
      <c r="J227" s="15">
        <f>H227</f>
        <v>8082.072000000001</v>
      </c>
      <c r="K227" s="15"/>
    </row>
    <row r="228" spans="1:13" ht="22.5" customHeight="1" x14ac:dyDescent="0.2">
      <c r="A228" s="11" t="s">
        <v>624</v>
      </c>
      <c r="B228" s="11" t="s">
        <v>163</v>
      </c>
      <c r="C228" s="12" t="s">
        <v>164</v>
      </c>
      <c r="D228" s="11" t="s">
        <v>32</v>
      </c>
      <c r="E228" s="13" t="s">
        <v>625</v>
      </c>
      <c r="F228" s="13" t="s">
        <v>626</v>
      </c>
      <c r="G228" s="14">
        <v>52621.06</v>
      </c>
      <c r="H228" s="14">
        <f t="shared" si="20"/>
        <v>61171.982250000001</v>
      </c>
      <c r="I228" s="15"/>
      <c r="J228" s="15">
        <f>H228</f>
        <v>61171.982250000001</v>
      </c>
      <c r="K228" s="15"/>
    </row>
    <row r="229" spans="1:13" x14ac:dyDescent="0.2">
      <c r="A229" s="11" t="s">
        <v>627</v>
      </c>
      <c r="B229" s="11" t="s">
        <v>628</v>
      </c>
      <c r="C229" s="12" t="s">
        <v>629</v>
      </c>
      <c r="D229" s="11" t="s">
        <v>43</v>
      </c>
      <c r="E229" s="13" t="s">
        <v>630</v>
      </c>
      <c r="F229" s="13" t="s">
        <v>631</v>
      </c>
      <c r="G229" s="14">
        <v>5210308</v>
      </c>
      <c r="H229" s="14">
        <f t="shared" si="20"/>
        <v>5911615.4567999998</v>
      </c>
      <c r="I229" s="15"/>
      <c r="J229" s="15"/>
      <c r="K229" s="15">
        <f>H229</f>
        <v>5911615.4567999998</v>
      </c>
    </row>
    <row r="230" spans="1:13" ht="33.75" customHeight="1" x14ac:dyDescent="0.2">
      <c r="A230" s="6" t="s">
        <v>632</v>
      </c>
      <c r="B230" s="6" t="s">
        <v>633</v>
      </c>
      <c r="C230" s="7" t="s">
        <v>634</v>
      </c>
      <c r="D230" s="6" t="s">
        <v>605</v>
      </c>
      <c r="E230" s="35" t="s">
        <v>606</v>
      </c>
      <c r="F230" s="35"/>
      <c r="G230" s="8">
        <v>0</v>
      </c>
      <c r="H230" s="8">
        <f t="shared" si="20"/>
        <v>0</v>
      </c>
      <c r="I230" s="9"/>
      <c r="J230" s="9"/>
      <c r="K230" s="9">
        <f>H230</f>
        <v>0</v>
      </c>
      <c r="L230" s="10"/>
      <c r="M230" s="10"/>
    </row>
    <row r="231" spans="1:13" x14ac:dyDescent="0.2">
      <c r="A231" s="11" t="s">
        <v>635</v>
      </c>
      <c r="B231" s="11" t="s">
        <v>19</v>
      </c>
      <c r="C231" s="12" t="s">
        <v>20</v>
      </c>
      <c r="D231" s="11" t="s">
        <v>21</v>
      </c>
      <c r="E231" s="13" t="s">
        <v>636</v>
      </c>
      <c r="F231" s="13" t="s">
        <v>637</v>
      </c>
      <c r="G231" s="14">
        <v>15807.93</v>
      </c>
      <c r="H231" s="14">
        <f t="shared" si="20"/>
        <v>1506890.9272500002</v>
      </c>
      <c r="I231" s="15">
        <f>H231</f>
        <v>1506890.9272500002</v>
      </c>
      <c r="J231" s="15"/>
      <c r="K231" s="15"/>
    </row>
    <row r="232" spans="1:13" x14ac:dyDescent="0.2">
      <c r="A232" s="16" t="s">
        <v>638</v>
      </c>
      <c r="B232" s="16" t="s">
        <v>25</v>
      </c>
      <c r="C232" s="17" t="s">
        <v>26</v>
      </c>
      <c r="D232" s="16" t="s">
        <v>21</v>
      </c>
      <c r="E232" s="18" t="s">
        <v>639</v>
      </c>
      <c r="F232" s="18" t="s">
        <v>640</v>
      </c>
      <c r="G232" s="8">
        <v>0</v>
      </c>
      <c r="H232" s="8">
        <f t="shared" si="20"/>
        <v>0</v>
      </c>
      <c r="I232" s="9"/>
      <c r="J232" s="9">
        <f>H232</f>
        <v>0</v>
      </c>
      <c r="K232" s="9"/>
      <c r="L232" s="10"/>
      <c r="M232" s="10"/>
    </row>
    <row r="233" spans="1:13" x14ac:dyDescent="0.2">
      <c r="A233" s="11" t="s">
        <v>641</v>
      </c>
      <c r="B233" s="11" t="s">
        <v>616</v>
      </c>
      <c r="C233" s="12" t="s">
        <v>617</v>
      </c>
      <c r="D233" s="11" t="s">
        <v>32</v>
      </c>
      <c r="E233" s="13" t="s">
        <v>40</v>
      </c>
      <c r="F233" s="13" t="s">
        <v>618</v>
      </c>
      <c r="G233" s="14">
        <v>3380.89</v>
      </c>
      <c r="H233" s="14">
        <f t="shared" si="20"/>
        <v>31442.277000000002</v>
      </c>
      <c r="I233" s="15"/>
      <c r="J233" s="15">
        <f>H233</f>
        <v>31442.277000000002</v>
      </c>
      <c r="K233" s="15"/>
    </row>
    <row r="234" spans="1:13" x14ac:dyDescent="0.2">
      <c r="A234" s="11" t="s">
        <v>642</v>
      </c>
      <c r="B234" s="11" t="s">
        <v>620</v>
      </c>
      <c r="C234" s="12" t="s">
        <v>621</v>
      </c>
      <c r="D234" s="11" t="s">
        <v>32</v>
      </c>
      <c r="E234" s="13" t="s">
        <v>622</v>
      </c>
      <c r="F234" s="13" t="s">
        <v>623</v>
      </c>
      <c r="G234" s="14">
        <v>11587.2</v>
      </c>
      <c r="H234" s="14">
        <f t="shared" si="20"/>
        <v>8082.072000000001</v>
      </c>
      <c r="I234" s="15"/>
      <c r="J234" s="15">
        <f>H234</f>
        <v>8082.072000000001</v>
      </c>
      <c r="K234" s="15"/>
    </row>
    <row r="235" spans="1:13" ht="22.5" customHeight="1" x14ac:dyDescent="0.2">
      <c r="A235" s="11" t="s">
        <v>643</v>
      </c>
      <c r="B235" s="11" t="s">
        <v>163</v>
      </c>
      <c r="C235" s="12" t="s">
        <v>164</v>
      </c>
      <c r="D235" s="11" t="s">
        <v>32</v>
      </c>
      <c r="E235" s="13" t="s">
        <v>275</v>
      </c>
      <c r="F235" s="13" t="s">
        <v>644</v>
      </c>
      <c r="G235" s="14">
        <v>52621.06</v>
      </c>
      <c r="H235" s="14">
        <f t="shared" si="20"/>
        <v>34256.310059999996</v>
      </c>
      <c r="I235" s="15"/>
      <c r="J235" s="15">
        <f>H235</f>
        <v>34256.310059999996</v>
      </c>
      <c r="K235" s="15"/>
    </row>
    <row r="236" spans="1:13" x14ac:dyDescent="0.2">
      <c r="A236" s="11" t="s">
        <v>645</v>
      </c>
      <c r="B236" s="11" t="s">
        <v>628</v>
      </c>
      <c r="C236" s="12" t="s">
        <v>629</v>
      </c>
      <c r="D236" s="11" t="s">
        <v>43</v>
      </c>
      <c r="E236" s="13" t="s">
        <v>630</v>
      </c>
      <c r="F236" s="13" t="s">
        <v>631</v>
      </c>
      <c r="G236" s="14">
        <v>5210308</v>
      </c>
      <c r="H236" s="14">
        <f t="shared" si="20"/>
        <v>5911615.4567999998</v>
      </c>
      <c r="I236" s="15"/>
      <c r="J236" s="15"/>
      <c r="K236" s="15">
        <f>H236</f>
        <v>5911615.4567999998</v>
      </c>
    </row>
    <row r="237" spans="1:13" ht="67.5" customHeight="1" x14ac:dyDescent="0.2">
      <c r="A237" s="6" t="s">
        <v>646</v>
      </c>
      <c r="B237" s="6" t="s">
        <v>647</v>
      </c>
      <c r="C237" s="7" t="s">
        <v>648</v>
      </c>
      <c r="D237" s="6" t="s">
        <v>649</v>
      </c>
      <c r="E237" s="35" t="s">
        <v>174</v>
      </c>
      <c r="F237" s="35"/>
      <c r="G237" s="8">
        <v>0</v>
      </c>
      <c r="H237" s="8">
        <f t="shared" si="20"/>
        <v>0</v>
      </c>
      <c r="I237" s="9"/>
      <c r="J237" s="9"/>
      <c r="K237" s="9">
        <f>H237</f>
        <v>0</v>
      </c>
      <c r="L237" s="10"/>
      <c r="M237" s="10"/>
    </row>
    <row r="238" spans="1:13" x14ac:dyDescent="0.2">
      <c r="A238" s="11" t="s">
        <v>650</v>
      </c>
      <c r="B238" s="11" t="s">
        <v>19</v>
      </c>
      <c r="C238" s="12" t="s">
        <v>20</v>
      </c>
      <c r="D238" s="11" t="s">
        <v>21</v>
      </c>
      <c r="E238" s="13" t="s">
        <v>651</v>
      </c>
      <c r="F238" s="13" t="s">
        <v>652</v>
      </c>
      <c r="G238" s="14">
        <v>15807.93</v>
      </c>
      <c r="H238" s="14">
        <f t="shared" si="20"/>
        <v>7046226.7182</v>
      </c>
      <c r="I238" s="15">
        <f>H238</f>
        <v>7046226.7182</v>
      </c>
      <c r="J238" s="15"/>
      <c r="K238" s="15"/>
    </row>
    <row r="239" spans="1:13" x14ac:dyDescent="0.2">
      <c r="A239" s="11" t="s">
        <v>653</v>
      </c>
      <c r="B239" s="11" t="s">
        <v>654</v>
      </c>
      <c r="C239" s="12" t="s">
        <v>655</v>
      </c>
      <c r="D239" s="11" t="s">
        <v>32</v>
      </c>
      <c r="E239" s="13" t="s">
        <v>656</v>
      </c>
      <c r="F239" s="13" t="s">
        <v>657</v>
      </c>
      <c r="G239" s="14">
        <v>258</v>
      </c>
      <c r="H239" s="14">
        <f t="shared" si="20"/>
        <v>1315.8</v>
      </c>
      <c r="I239" s="15"/>
      <c r="J239" s="15">
        <f>H239</f>
        <v>1315.8</v>
      </c>
      <c r="K239" s="15"/>
    </row>
    <row r="240" spans="1:13" x14ac:dyDescent="0.2">
      <c r="A240" s="11" t="s">
        <v>658</v>
      </c>
      <c r="B240" s="11" t="s">
        <v>659</v>
      </c>
      <c r="C240" s="12" t="s">
        <v>660</v>
      </c>
      <c r="D240" s="11" t="s">
        <v>32</v>
      </c>
      <c r="E240" s="13" t="s">
        <v>661</v>
      </c>
      <c r="F240" s="13" t="s">
        <v>662</v>
      </c>
      <c r="G240" s="14">
        <v>12423.31</v>
      </c>
      <c r="H240" s="14">
        <f t="shared" si="20"/>
        <v>2078171.2967999999</v>
      </c>
      <c r="I240" s="15"/>
      <c r="J240" s="15">
        <f>H240</f>
        <v>2078171.2967999999</v>
      </c>
      <c r="K240" s="15"/>
    </row>
    <row r="241" spans="1:13" x14ac:dyDescent="0.2">
      <c r="A241" s="11" t="s">
        <v>663</v>
      </c>
      <c r="B241" s="11" t="s">
        <v>168</v>
      </c>
      <c r="C241" s="12" t="s">
        <v>105</v>
      </c>
      <c r="D241" s="11" t="s">
        <v>60</v>
      </c>
      <c r="E241" s="13" t="s">
        <v>546</v>
      </c>
      <c r="F241" s="13" t="s">
        <v>664</v>
      </c>
      <c r="G241" s="14">
        <v>0</v>
      </c>
      <c r="H241" s="14">
        <f t="shared" si="20"/>
        <v>0</v>
      </c>
      <c r="I241" s="15"/>
      <c r="J241" s="15"/>
      <c r="K241" s="15">
        <f t="shared" ref="K241:K248" si="23">H241</f>
        <v>0</v>
      </c>
    </row>
    <row r="242" spans="1:13" ht="22.5" customHeight="1" x14ac:dyDescent="0.2">
      <c r="A242" s="11" t="s">
        <v>665</v>
      </c>
      <c r="B242" s="11" t="s">
        <v>666</v>
      </c>
      <c r="C242" s="12" t="s">
        <v>667</v>
      </c>
      <c r="D242" s="11" t="s">
        <v>314</v>
      </c>
      <c r="E242" s="13" t="s">
        <v>40</v>
      </c>
      <c r="F242" s="13" t="s">
        <v>668</v>
      </c>
      <c r="G242" s="14">
        <v>600</v>
      </c>
      <c r="H242" s="14">
        <f t="shared" si="20"/>
        <v>122400</v>
      </c>
      <c r="I242" s="15"/>
      <c r="J242" s="15"/>
      <c r="K242" s="15">
        <f t="shared" si="23"/>
        <v>122400</v>
      </c>
    </row>
    <row r="243" spans="1:13" x14ac:dyDescent="0.2">
      <c r="A243" s="11" t="s">
        <v>669</v>
      </c>
      <c r="B243" s="11" t="s">
        <v>670</v>
      </c>
      <c r="C243" s="12" t="s">
        <v>671</v>
      </c>
      <c r="D243" s="11" t="s">
        <v>672</v>
      </c>
      <c r="E243" s="13" t="s">
        <v>673</v>
      </c>
      <c r="F243" s="13" t="s">
        <v>674</v>
      </c>
      <c r="G243" s="14">
        <v>1200</v>
      </c>
      <c r="H243" s="14">
        <f t="shared" si="20"/>
        <v>26928</v>
      </c>
      <c r="I243" s="15"/>
      <c r="J243" s="15"/>
      <c r="K243" s="15">
        <f t="shared" si="23"/>
        <v>26928</v>
      </c>
    </row>
    <row r="244" spans="1:13" ht="22.5" customHeight="1" x14ac:dyDescent="0.2">
      <c r="A244" s="11" t="s">
        <v>675</v>
      </c>
      <c r="B244" s="11" t="s">
        <v>676</v>
      </c>
      <c r="C244" s="12" t="s">
        <v>677</v>
      </c>
      <c r="D244" s="11" t="s">
        <v>314</v>
      </c>
      <c r="E244" s="13" t="s">
        <v>678</v>
      </c>
      <c r="F244" s="13" t="s">
        <v>679</v>
      </c>
      <c r="G244" s="14">
        <v>65000</v>
      </c>
      <c r="H244" s="14">
        <f t="shared" si="20"/>
        <v>1624350</v>
      </c>
      <c r="I244" s="15"/>
      <c r="J244" s="15"/>
      <c r="K244" s="15">
        <f t="shared" si="23"/>
        <v>1624350</v>
      </c>
    </row>
    <row r="245" spans="1:13" x14ac:dyDescent="0.2">
      <c r="A245" s="11" t="s">
        <v>680</v>
      </c>
      <c r="B245" s="11" t="s">
        <v>681</v>
      </c>
      <c r="C245" s="12" t="s">
        <v>682</v>
      </c>
      <c r="D245" s="11" t="s">
        <v>314</v>
      </c>
      <c r="E245" s="13" t="s">
        <v>237</v>
      </c>
      <c r="F245" s="13" t="s">
        <v>683</v>
      </c>
      <c r="G245" s="14">
        <v>14000</v>
      </c>
      <c r="H245" s="14">
        <f t="shared" si="20"/>
        <v>14280</v>
      </c>
      <c r="I245" s="15"/>
      <c r="J245" s="15"/>
      <c r="K245" s="15">
        <f t="shared" si="23"/>
        <v>14280</v>
      </c>
    </row>
    <row r="246" spans="1:13" ht="12.75" customHeight="1" x14ac:dyDescent="0.2">
      <c r="A246" s="37"/>
      <c r="B246" s="37"/>
      <c r="C246" s="37"/>
      <c r="D246" s="37"/>
      <c r="E246" s="37"/>
      <c r="F246" s="37"/>
      <c r="G246" s="14"/>
      <c r="H246" s="14">
        <f t="shared" si="20"/>
        <v>0</v>
      </c>
      <c r="I246" s="15"/>
      <c r="J246" s="15"/>
      <c r="K246" s="15">
        <f t="shared" si="23"/>
        <v>0</v>
      </c>
    </row>
    <row r="247" spans="1:13" ht="12.75" customHeight="1" x14ac:dyDescent="0.2">
      <c r="A247" s="37" t="s">
        <v>684</v>
      </c>
      <c r="B247" s="37"/>
      <c r="C247" s="37"/>
      <c r="D247" s="37"/>
      <c r="E247" s="37"/>
      <c r="F247" s="37"/>
      <c r="G247" s="14"/>
      <c r="H247" s="14">
        <f t="shared" si="20"/>
        <v>0</v>
      </c>
      <c r="I247" s="15"/>
      <c r="J247" s="15"/>
      <c r="K247" s="15">
        <f t="shared" si="23"/>
        <v>0</v>
      </c>
    </row>
    <row r="248" spans="1:13" x14ac:dyDescent="0.2">
      <c r="A248" s="6" t="s">
        <v>685</v>
      </c>
      <c r="B248" s="6" t="s">
        <v>686</v>
      </c>
      <c r="C248" s="7" t="s">
        <v>687</v>
      </c>
      <c r="D248" s="6" t="s">
        <v>118</v>
      </c>
      <c r="E248" s="35" t="s">
        <v>688</v>
      </c>
      <c r="F248" s="35"/>
      <c r="G248" s="8">
        <v>0</v>
      </c>
      <c r="H248" s="8">
        <f t="shared" si="20"/>
        <v>0</v>
      </c>
      <c r="I248" s="9"/>
      <c r="J248" s="9"/>
      <c r="K248" s="9">
        <f t="shared" si="23"/>
        <v>0</v>
      </c>
      <c r="L248" s="10"/>
      <c r="M248" s="10"/>
    </row>
    <row r="249" spans="1:13" x14ac:dyDescent="0.2">
      <c r="A249" s="11" t="s">
        <v>689</v>
      </c>
      <c r="B249" s="11" t="s">
        <v>19</v>
      </c>
      <c r="C249" s="12" t="s">
        <v>20</v>
      </c>
      <c r="D249" s="11" t="s">
        <v>21</v>
      </c>
      <c r="E249" s="13" t="s">
        <v>690</v>
      </c>
      <c r="F249" s="13" t="s">
        <v>691</v>
      </c>
      <c r="G249" s="14">
        <v>15807.93</v>
      </c>
      <c r="H249" s="14">
        <f t="shared" si="20"/>
        <v>10191522.9624936</v>
      </c>
      <c r="I249" s="15">
        <f>H249</f>
        <v>10191522.9624936</v>
      </c>
      <c r="J249" s="15"/>
      <c r="K249" s="15"/>
    </row>
    <row r="250" spans="1:13" x14ac:dyDescent="0.2">
      <c r="A250" s="16" t="s">
        <v>692</v>
      </c>
      <c r="B250" s="16" t="s">
        <v>25</v>
      </c>
      <c r="C250" s="17" t="s">
        <v>26</v>
      </c>
      <c r="D250" s="16" t="s">
        <v>21</v>
      </c>
      <c r="E250" s="18" t="s">
        <v>693</v>
      </c>
      <c r="F250" s="18" t="s">
        <v>694</v>
      </c>
      <c r="G250" s="8">
        <v>0</v>
      </c>
      <c r="H250" s="8">
        <f t="shared" si="20"/>
        <v>0</v>
      </c>
      <c r="I250" s="9"/>
      <c r="J250" s="9">
        <f t="shared" ref="J250:J257" si="24">H250</f>
        <v>0</v>
      </c>
      <c r="K250" s="9"/>
      <c r="L250" s="10"/>
      <c r="M250" s="10"/>
    </row>
    <row r="251" spans="1:13" x14ac:dyDescent="0.2">
      <c r="A251" s="11" t="s">
        <v>695</v>
      </c>
      <c r="B251" s="11" t="s">
        <v>193</v>
      </c>
      <c r="C251" s="12" t="s">
        <v>194</v>
      </c>
      <c r="D251" s="11" t="s">
        <v>32</v>
      </c>
      <c r="E251" s="13" t="s">
        <v>195</v>
      </c>
      <c r="F251" s="13" t="s">
        <v>696</v>
      </c>
      <c r="G251" s="14">
        <v>54800</v>
      </c>
      <c r="H251" s="14">
        <f t="shared" si="20"/>
        <v>6078.1967999999997</v>
      </c>
      <c r="I251" s="15"/>
      <c r="J251" s="15">
        <f t="shared" si="24"/>
        <v>6078.1967999999997</v>
      </c>
      <c r="K251" s="15"/>
    </row>
    <row r="252" spans="1:13" x14ac:dyDescent="0.2">
      <c r="A252" s="11" t="s">
        <v>697</v>
      </c>
      <c r="B252" s="11" t="s">
        <v>153</v>
      </c>
      <c r="C252" s="12" t="s">
        <v>154</v>
      </c>
      <c r="D252" s="11" t="s">
        <v>32</v>
      </c>
      <c r="E252" s="13" t="s">
        <v>698</v>
      </c>
      <c r="F252" s="13" t="s">
        <v>699</v>
      </c>
      <c r="G252" s="14">
        <v>580</v>
      </c>
      <c r="H252" s="14">
        <f t="shared" si="20"/>
        <v>14743.776320000001</v>
      </c>
      <c r="I252" s="15"/>
      <c r="J252" s="15">
        <f t="shared" si="24"/>
        <v>14743.776320000001</v>
      </c>
      <c r="K252" s="15"/>
    </row>
    <row r="253" spans="1:13" ht="33.75" customHeight="1" x14ac:dyDescent="0.2">
      <c r="A253" s="11" t="s">
        <v>700</v>
      </c>
      <c r="B253" s="11" t="s">
        <v>158</v>
      </c>
      <c r="C253" s="12" t="s">
        <v>159</v>
      </c>
      <c r="D253" s="11" t="s">
        <v>32</v>
      </c>
      <c r="E253" s="13" t="s">
        <v>701</v>
      </c>
      <c r="F253" s="13" t="s">
        <v>702</v>
      </c>
      <c r="G253" s="14">
        <v>45270</v>
      </c>
      <c r="H253" s="14">
        <f t="shared" si="20"/>
        <v>1735092.2628000001</v>
      </c>
      <c r="I253" s="15"/>
      <c r="J253" s="15">
        <f t="shared" si="24"/>
        <v>1735092.2628000001</v>
      </c>
      <c r="K253" s="15"/>
    </row>
    <row r="254" spans="1:13" ht="33.75" customHeight="1" x14ac:dyDescent="0.2">
      <c r="A254" s="11" t="s">
        <v>703</v>
      </c>
      <c r="B254" s="11" t="s">
        <v>204</v>
      </c>
      <c r="C254" s="12" t="s">
        <v>205</v>
      </c>
      <c r="D254" s="11" t="s">
        <v>32</v>
      </c>
      <c r="E254" s="13" t="s">
        <v>704</v>
      </c>
      <c r="F254" s="13" t="s">
        <v>705</v>
      </c>
      <c r="G254" s="14">
        <v>102000</v>
      </c>
      <c r="H254" s="14">
        <f t="shared" si="20"/>
        <v>119000.54399999999</v>
      </c>
      <c r="I254" s="15"/>
      <c r="J254" s="15">
        <f t="shared" si="24"/>
        <v>119000.54399999999</v>
      </c>
      <c r="K254" s="15"/>
    </row>
    <row r="255" spans="1:13" x14ac:dyDescent="0.2">
      <c r="A255" s="11" t="s">
        <v>706</v>
      </c>
      <c r="B255" s="11" t="s">
        <v>209</v>
      </c>
      <c r="C255" s="12" t="s">
        <v>210</v>
      </c>
      <c r="D255" s="11" t="s">
        <v>32</v>
      </c>
      <c r="E255" s="13" t="s">
        <v>707</v>
      </c>
      <c r="F255" s="13" t="s">
        <v>708</v>
      </c>
      <c r="G255" s="14">
        <v>873</v>
      </c>
      <c r="H255" s="14">
        <f t="shared" si="20"/>
        <v>681.39395999999999</v>
      </c>
      <c r="I255" s="15"/>
      <c r="J255" s="15">
        <f t="shared" si="24"/>
        <v>681.39395999999999</v>
      </c>
      <c r="K255" s="15"/>
    </row>
    <row r="256" spans="1:13" ht="22.5" customHeight="1" x14ac:dyDescent="0.2">
      <c r="A256" s="11" t="s">
        <v>709</v>
      </c>
      <c r="B256" s="11" t="s">
        <v>214</v>
      </c>
      <c r="C256" s="12" t="s">
        <v>215</v>
      </c>
      <c r="D256" s="11" t="s">
        <v>32</v>
      </c>
      <c r="E256" s="13" t="s">
        <v>710</v>
      </c>
      <c r="F256" s="13" t="s">
        <v>711</v>
      </c>
      <c r="G256" s="14">
        <v>3200</v>
      </c>
      <c r="H256" s="14">
        <f t="shared" si="20"/>
        <v>164254.272</v>
      </c>
      <c r="I256" s="15"/>
      <c r="J256" s="15">
        <f t="shared" si="24"/>
        <v>164254.272</v>
      </c>
      <c r="K256" s="15"/>
    </row>
    <row r="257" spans="1:13" ht="22.5" customHeight="1" x14ac:dyDescent="0.2">
      <c r="A257" s="11" t="s">
        <v>712</v>
      </c>
      <c r="B257" s="11" t="s">
        <v>163</v>
      </c>
      <c r="C257" s="12" t="s">
        <v>164</v>
      </c>
      <c r="D257" s="11" t="s">
        <v>32</v>
      </c>
      <c r="E257" s="13" t="s">
        <v>713</v>
      </c>
      <c r="F257" s="13" t="s">
        <v>714</v>
      </c>
      <c r="G257" s="14">
        <v>52621.06</v>
      </c>
      <c r="H257" s="14">
        <f t="shared" si="20"/>
        <v>92303.443282959997</v>
      </c>
      <c r="I257" s="15"/>
      <c r="J257" s="15">
        <f t="shared" si="24"/>
        <v>92303.443282959997</v>
      </c>
      <c r="K257" s="15"/>
    </row>
    <row r="258" spans="1:13" x14ac:dyDescent="0.2">
      <c r="A258" s="11" t="s">
        <v>715</v>
      </c>
      <c r="B258" s="11" t="s">
        <v>168</v>
      </c>
      <c r="C258" s="12" t="s">
        <v>105</v>
      </c>
      <c r="D258" s="11" t="s">
        <v>60</v>
      </c>
      <c r="E258" s="13" t="s">
        <v>625</v>
      </c>
      <c r="F258" s="13" t="s">
        <v>716</v>
      </c>
      <c r="G258" s="14">
        <v>0</v>
      </c>
      <c r="H258" s="14">
        <f t="shared" si="20"/>
        <v>0</v>
      </c>
      <c r="I258" s="15"/>
      <c r="J258" s="15"/>
      <c r="K258" s="15">
        <f t="shared" ref="K258:K266" si="25">H258</f>
        <v>0</v>
      </c>
    </row>
    <row r="259" spans="1:13" x14ac:dyDescent="0.2">
      <c r="A259" s="11" t="s">
        <v>717</v>
      </c>
      <c r="B259" s="11" t="s">
        <v>718</v>
      </c>
      <c r="C259" s="12" t="s">
        <v>719</v>
      </c>
      <c r="D259" s="11" t="s">
        <v>60</v>
      </c>
      <c r="E259" s="13" t="s">
        <v>227</v>
      </c>
      <c r="F259" s="13" t="s">
        <v>720</v>
      </c>
      <c r="G259" s="14">
        <v>490000</v>
      </c>
      <c r="H259" s="14">
        <f t="shared" si="20"/>
        <v>20431138</v>
      </c>
      <c r="I259" s="15"/>
      <c r="J259" s="15"/>
      <c r="K259" s="15">
        <f t="shared" si="25"/>
        <v>20431138</v>
      </c>
    </row>
    <row r="260" spans="1:13" x14ac:dyDescent="0.2">
      <c r="A260" s="11" t="s">
        <v>721</v>
      </c>
      <c r="B260" s="11" t="s">
        <v>230</v>
      </c>
      <c r="C260" s="12" t="s">
        <v>231</v>
      </c>
      <c r="D260" s="11" t="s">
        <v>43</v>
      </c>
      <c r="E260" s="13" t="s">
        <v>552</v>
      </c>
      <c r="F260" s="13" t="s">
        <v>722</v>
      </c>
      <c r="G260" s="14">
        <v>8200000</v>
      </c>
      <c r="H260" s="14">
        <f t="shared" si="20"/>
        <v>151585.19999999998</v>
      </c>
      <c r="I260" s="15"/>
      <c r="J260" s="15"/>
      <c r="K260" s="15">
        <f t="shared" si="25"/>
        <v>151585.19999999998</v>
      </c>
    </row>
    <row r="261" spans="1:13" ht="22.5" customHeight="1" x14ac:dyDescent="0.2">
      <c r="A261" s="11" t="s">
        <v>723</v>
      </c>
      <c r="B261" s="11" t="s">
        <v>235</v>
      </c>
      <c r="C261" s="12" t="s">
        <v>236</v>
      </c>
      <c r="D261" s="11" t="s">
        <v>43</v>
      </c>
      <c r="E261" s="13" t="s">
        <v>724</v>
      </c>
      <c r="F261" s="13" t="s">
        <v>725</v>
      </c>
      <c r="G261" s="14">
        <v>650000</v>
      </c>
      <c r="H261" s="14">
        <f t="shared" si="20"/>
        <v>22429.68</v>
      </c>
      <c r="I261" s="15"/>
      <c r="J261" s="15"/>
      <c r="K261" s="15">
        <f t="shared" si="25"/>
        <v>22429.68</v>
      </c>
    </row>
    <row r="262" spans="1:13" x14ac:dyDescent="0.2">
      <c r="A262" s="11" t="s">
        <v>726</v>
      </c>
      <c r="B262" s="11" t="s">
        <v>245</v>
      </c>
      <c r="C262" s="12" t="s">
        <v>246</v>
      </c>
      <c r="D262" s="11" t="s">
        <v>43</v>
      </c>
      <c r="E262" s="13" t="s">
        <v>622</v>
      </c>
      <c r="F262" s="13" t="s">
        <v>727</v>
      </c>
      <c r="G262" s="14">
        <v>10300000</v>
      </c>
      <c r="H262" s="14">
        <f t="shared" si="20"/>
        <v>634686</v>
      </c>
      <c r="I262" s="15"/>
      <c r="J262" s="15"/>
      <c r="K262" s="15">
        <f t="shared" si="25"/>
        <v>634686</v>
      </c>
    </row>
    <row r="263" spans="1:13" ht="33.75" customHeight="1" x14ac:dyDescent="0.2">
      <c r="A263" s="11" t="s">
        <v>728</v>
      </c>
      <c r="B263" s="11" t="s">
        <v>729</v>
      </c>
      <c r="C263" s="12" t="s">
        <v>730</v>
      </c>
      <c r="D263" s="11" t="s">
        <v>60</v>
      </c>
      <c r="E263" s="13" t="s">
        <v>731</v>
      </c>
      <c r="F263" s="13" t="s">
        <v>732</v>
      </c>
      <c r="G263" s="14">
        <v>2000000</v>
      </c>
      <c r="H263" s="14">
        <f t="shared" si="20"/>
        <v>1396720</v>
      </c>
      <c r="I263" s="15"/>
      <c r="J263" s="15"/>
      <c r="K263" s="15">
        <f t="shared" si="25"/>
        <v>1396720</v>
      </c>
    </row>
    <row r="264" spans="1:13" ht="22.5" customHeight="1" x14ac:dyDescent="0.2">
      <c r="A264" s="11" t="s">
        <v>733</v>
      </c>
      <c r="B264" s="11" t="s">
        <v>734</v>
      </c>
      <c r="C264" s="12" t="s">
        <v>735</v>
      </c>
      <c r="D264" s="11" t="s">
        <v>60</v>
      </c>
      <c r="E264" s="13" t="s">
        <v>625</v>
      </c>
      <c r="F264" s="13" t="s">
        <v>716</v>
      </c>
      <c r="G264" s="14">
        <v>2000000</v>
      </c>
      <c r="H264" s="14">
        <f t="shared" si="20"/>
        <v>205400</v>
      </c>
      <c r="I264" s="15"/>
      <c r="J264" s="15"/>
      <c r="K264" s="15">
        <f t="shared" si="25"/>
        <v>205400</v>
      </c>
    </row>
    <row r="265" spans="1:13" x14ac:dyDescent="0.2">
      <c r="A265" s="11" t="s">
        <v>736</v>
      </c>
      <c r="B265" s="11" t="s">
        <v>563</v>
      </c>
      <c r="C265" s="12" t="s">
        <v>564</v>
      </c>
      <c r="D265" s="11" t="s">
        <v>179</v>
      </c>
      <c r="E265" s="13" t="s">
        <v>737</v>
      </c>
      <c r="F265" s="13" t="s">
        <v>738</v>
      </c>
      <c r="G265" s="14">
        <v>25000</v>
      </c>
      <c r="H265" s="14">
        <f t="shared" si="20"/>
        <v>1386450</v>
      </c>
      <c r="I265" s="15"/>
      <c r="J265" s="15"/>
      <c r="K265" s="15">
        <f t="shared" si="25"/>
        <v>1386450</v>
      </c>
    </row>
    <row r="266" spans="1:13" ht="33.75" customHeight="1" x14ac:dyDescent="0.2">
      <c r="A266" s="6" t="s">
        <v>739</v>
      </c>
      <c r="B266" s="6" t="s">
        <v>263</v>
      </c>
      <c r="C266" s="7" t="s">
        <v>264</v>
      </c>
      <c r="D266" s="6" t="s">
        <v>43</v>
      </c>
      <c r="E266" s="35" t="s">
        <v>740</v>
      </c>
      <c r="F266" s="35"/>
      <c r="G266" s="8">
        <v>0</v>
      </c>
      <c r="H266" s="8">
        <f t="shared" si="20"/>
        <v>0</v>
      </c>
      <c r="I266" s="9"/>
      <c r="J266" s="9"/>
      <c r="K266" s="9">
        <f t="shared" si="25"/>
        <v>0</v>
      </c>
      <c r="L266" s="10"/>
      <c r="M266" s="10"/>
    </row>
    <row r="267" spans="1:13" x14ac:dyDescent="0.2">
      <c r="A267" s="11" t="s">
        <v>741</v>
      </c>
      <c r="B267" s="11" t="s">
        <v>19</v>
      </c>
      <c r="C267" s="12" t="s">
        <v>20</v>
      </c>
      <c r="D267" s="11" t="s">
        <v>21</v>
      </c>
      <c r="E267" s="13" t="s">
        <v>267</v>
      </c>
      <c r="F267" s="13" t="s">
        <v>742</v>
      </c>
      <c r="G267" s="14">
        <v>15807.93</v>
      </c>
      <c r="H267" s="14">
        <f t="shared" si="20"/>
        <v>21159146.997729599</v>
      </c>
      <c r="I267" s="15">
        <f>H267</f>
        <v>21159146.997729599</v>
      </c>
      <c r="J267" s="15"/>
      <c r="K267" s="15"/>
    </row>
    <row r="268" spans="1:13" x14ac:dyDescent="0.2">
      <c r="A268" s="16" t="s">
        <v>743</v>
      </c>
      <c r="B268" s="16" t="s">
        <v>25</v>
      </c>
      <c r="C268" s="17" t="s">
        <v>26</v>
      </c>
      <c r="D268" s="16" t="s">
        <v>21</v>
      </c>
      <c r="E268" s="18" t="s">
        <v>270</v>
      </c>
      <c r="F268" s="18" t="s">
        <v>744</v>
      </c>
      <c r="G268" s="8">
        <v>0</v>
      </c>
      <c r="H268" s="8">
        <f t="shared" si="20"/>
        <v>0</v>
      </c>
      <c r="I268" s="9"/>
      <c r="J268" s="9">
        <f t="shared" ref="J268:J275" si="26">H268</f>
        <v>0</v>
      </c>
      <c r="K268" s="9"/>
      <c r="L268" s="10"/>
      <c r="M268" s="10"/>
    </row>
    <row r="269" spans="1:13" x14ac:dyDescent="0.2">
      <c r="A269" s="11" t="s">
        <v>745</v>
      </c>
      <c r="B269" s="11" t="s">
        <v>193</v>
      </c>
      <c r="C269" s="12" t="s">
        <v>194</v>
      </c>
      <c r="D269" s="11" t="s">
        <v>32</v>
      </c>
      <c r="E269" s="13" t="s">
        <v>206</v>
      </c>
      <c r="F269" s="13" t="s">
        <v>746</v>
      </c>
      <c r="G269" s="14">
        <v>54800</v>
      </c>
      <c r="H269" s="14">
        <f t="shared" si="20"/>
        <v>911303.17599999998</v>
      </c>
      <c r="I269" s="15"/>
      <c r="J269" s="15">
        <f t="shared" si="26"/>
        <v>911303.17599999998</v>
      </c>
      <c r="K269" s="15"/>
    </row>
    <row r="270" spans="1:13" ht="33.75" customHeight="1" x14ac:dyDescent="0.2">
      <c r="A270" s="11" t="s">
        <v>747</v>
      </c>
      <c r="B270" s="11" t="s">
        <v>158</v>
      </c>
      <c r="C270" s="12" t="s">
        <v>159</v>
      </c>
      <c r="D270" s="11" t="s">
        <v>32</v>
      </c>
      <c r="E270" s="13" t="s">
        <v>275</v>
      </c>
      <c r="F270" s="13" t="s">
        <v>748</v>
      </c>
      <c r="G270" s="14">
        <v>45270</v>
      </c>
      <c r="H270" s="14">
        <f t="shared" si="20"/>
        <v>107546.12819999999</v>
      </c>
      <c r="I270" s="15"/>
      <c r="J270" s="15">
        <f t="shared" si="26"/>
        <v>107546.12819999999</v>
      </c>
      <c r="K270" s="15"/>
    </row>
    <row r="271" spans="1:13" x14ac:dyDescent="0.2">
      <c r="A271" s="11" t="s">
        <v>749</v>
      </c>
      <c r="B271" s="11" t="s">
        <v>278</v>
      </c>
      <c r="C271" s="12" t="s">
        <v>279</v>
      </c>
      <c r="D271" s="11" t="s">
        <v>32</v>
      </c>
      <c r="E271" s="13" t="s">
        <v>280</v>
      </c>
      <c r="F271" s="13" t="s">
        <v>750</v>
      </c>
      <c r="G271" s="14">
        <v>637.55999999999995</v>
      </c>
      <c r="H271" s="14">
        <f t="shared" si="20"/>
        <v>1298.2506767999998</v>
      </c>
      <c r="I271" s="15"/>
      <c r="J271" s="15">
        <f t="shared" si="26"/>
        <v>1298.2506767999998</v>
      </c>
      <c r="K271" s="15"/>
    </row>
    <row r="272" spans="1:13" x14ac:dyDescent="0.2">
      <c r="A272" s="11" t="s">
        <v>751</v>
      </c>
      <c r="B272" s="11" t="s">
        <v>283</v>
      </c>
      <c r="C272" s="12" t="s">
        <v>284</v>
      </c>
      <c r="D272" s="11" t="s">
        <v>32</v>
      </c>
      <c r="E272" s="13" t="s">
        <v>285</v>
      </c>
      <c r="F272" s="13" t="s">
        <v>752</v>
      </c>
      <c r="G272" s="14">
        <v>650</v>
      </c>
      <c r="H272" s="14">
        <f t="shared" ref="H272:H335" si="27">IF(ISNUMBER(G272),IF(F272="",E272*G272,F272*G272),0)</f>
        <v>15441.789999999999</v>
      </c>
      <c r="I272" s="15"/>
      <c r="J272" s="15">
        <f t="shared" si="26"/>
        <v>15441.789999999999</v>
      </c>
      <c r="K272" s="15"/>
    </row>
    <row r="273" spans="1:13" ht="22.5" customHeight="1" x14ac:dyDescent="0.2">
      <c r="A273" s="11" t="s">
        <v>753</v>
      </c>
      <c r="B273" s="11" t="s">
        <v>288</v>
      </c>
      <c r="C273" s="12" t="s">
        <v>289</v>
      </c>
      <c r="D273" s="11" t="s">
        <v>32</v>
      </c>
      <c r="E273" s="13" t="s">
        <v>165</v>
      </c>
      <c r="F273" s="13" t="s">
        <v>754</v>
      </c>
      <c r="G273" s="14">
        <v>25650</v>
      </c>
      <c r="H273" s="14">
        <f t="shared" si="27"/>
        <v>56583.130500000007</v>
      </c>
      <c r="I273" s="15"/>
      <c r="J273" s="15">
        <f t="shared" si="26"/>
        <v>56583.130500000007</v>
      </c>
      <c r="K273" s="15"/>
    </row>
    <row r="274" spans="1:13" x14ac:dyDescent="0.2">
      <c r="A274" s="11" t="s">
        <v>755</v>
      </c>
      <c r="B274" s="11" t="s">
        <v>292</v>
      </c>
      <c r="C274" s="12" t="s">
        <v>293</v>
      </c>
      <c r="D274" s="11" t="s">
        <v>32</v>
      </c>
      <c r="E274" s="13" t="s">
        <v>294</v>
      </c>
      <c r="F274" s="13" t="s">
        <v>756</v>
      </c>
      <c r="G274" s="14">
        <v>874.37</v>
      </c>
      <c r="H274" s="14">
        <f t="shared" si="27"/>
        <v>12759.9786958</v>
      </c>
      <c r="I274" s="15"/>
      <c r="J274" s="15">
        <f t="shared" si="26"/>
        <v>12759.9786958</v>
      </c>
      <c r="K274" s="15"/>
    </row>
    <row r="275" spans="1:13" x14ac:dyDescent="0.2">
      <c r="A275" s="11" t="s">
        <v>757</v>
      </c>
      <c r="B275" s="11" t="s">
        <v>297</v>
      </c>
      <c r="C275" s="12" t="s">
        <v>298</v>
      </c>
      <c r="D275" s="11" t="s">
        <v>32</v>
      </c>
      <c r="E275" s="13" t="s">
        <v>299</v>
      </c>
      <c r="F275" s="13" t="s">
        <v>758</v>
      </c>
      <c r="G275" s="14">
        <v>645</v>
      </c>
      <c r="H275" s="14">
        <f t="shared" si="27"/>
        <v>22984.5105</v>
      </c>
      <c r="I275" s="15"/>
      <c r="J275" s="15">
        <f t="shared" si="26"/>
        <v>22984.5105</v>
      </c>
      <c r="K275" s="15"/>
    </row>
    <row r="276" spans="1:13" x14ac:dyDescent="0.2">
      <c r="A276" s="11" t="s">
        <v>759</v>
      </c>
      <c r="B276" s="11" t="s">
        <v>302</v>
      </c>
      <c r="C276" s="12" t="s">
        <v>303</v>
      </c>
      <c r="D276" s="11" t="s">
        <v>60</v>
      </c>
      <c r="E276" s="13" t="s">
        <v>304</v>
      </c>
      <c r="F276" s="13" t="s">
        <v>760</v>
      </c>
      <c r="G276" s="14">
        <v>4500</v>
      </c>
      <c r="H276" s="14">
        <f t="shared" si="27"/>
        <v>198537.3</v>
      </c>
      <c r="I276" s="15"/>
      <c r="J276" s="15"/>
      <c r="K276" s="15">
        <f t="shared" ref="K276:K286" si="28">H276</f>
        <v>198537.3</v>
      </c>
    </row>
    <row r="277" spans="1:13" x14ac:dyDescent="0.2">
      <c r="A277" s="11" t="s">
        <v>761</v>
      </c>
      <c r="B277" s="11" t="s">
        <v>307</v>
      </c>
      <c r="C277" s="12" t="s">
        <v>308</v>
      </c>
      <c r="D277" s="11" t="s">
        <v>43</v>
      </c>
      <c r="E277" s="13" t="s">
        <v>309</v>
      </c>
      <c r="F277" s="13" t="s">
        <v>762</v>
      </c>
      <c r="G277" s="14">
        <v>5941000</v>
      </c>
      <c r="H277" s="14">
        <f t="shared" si="27"/>
        <v>705689.80299999996</v>
      </c>
      <c r="I277" s="15"/>
      <c r="J277" s="15"/>
      <c r="K277" s="15">
        <f t="shared" si="28"/>
        <v>705689.80299999996</v>
      </c>
    </row>
    <row r="278" spans="1:13" x14ac:dyDescent="0.2">
      <c r="A278" s="11" t="s">
        <v>763</v>
      </c>
      <c r="B278" s="11" t="s">
        <v>312</v>
      </c>
      <c r="C278" s="12" t="s">
        <v>313</v>
      </c>
      <c r="D278" s="11" t="s">
        <v>314</v>
      </c>
      <c r="E278" s="13" t="s">
        <v>315</v>
      </c>
      <c r="F278" s="13" t="s">
        <v>764</v>
      </c>
      <c r="G278" s="14">
        <v>6500</v>
      </c>
      <c r="H278" s="14">
        <f t="shared" si="27"/>
        <v>55149.250000000007</v>
      </c>
      <c r="I278" s="15"/>
      <c r="J278" s="15"/>
      <c r="K278" s="15">
        <f t="shared" si="28"/>
        <v>55149.250000000007</v>
      </c>
    </row>
    <row r="279" spans="1:13" x14ac:dyDescent="0.2">
      <c r="A279" s="11" t="s">
        <v>765</v>
      </c>
      <c r="B279" s="11" t="s">
        <v>318</v>
      </c>
      <c r="C279" s="12" t="s">
        <v>319</v>
      </c>
      <c r="D279" s="11" t="s">
        <v>320</v>
      </c>
      <c r="E279" s="13" t="s">
        <v>321</v>
      </c>
      <c r="F279" s="13" t="s">
        <v>766</v>
      </c>
      <c r="G279" s="14">
        <v>3200</v>
      </c>
      <c r="H279" s="14">
        <f t="shared" si="27"/>
        <v>97741.440000000002</v>
      </c>
      <c r="I279" s="15"/>
      <c r="J279" s="15"/>
      <c r="K279" s="15">
        <f t="shared" si="28"/>
        <v>97741.440000000002</v>
      </c>
    </row>
    <row r="280" spans="1:13" ht="33.75" customHeight="1" x14ac:dyDescent="0.2">
      <c r="A280" s="19" t="s">
        <v>767</v>
      </c>
      <c r="B280" s="19" t="s">
        <v>496</v>
      </c>
      <c r="C280" s="20" t="s">
        <v>497</v>
      </c>
      <c r="D280" s="19" t="s">
        <v>43</v>
      </c>
      <c r="E280" s="36" t="s">
        <v>768</v>
      </c>
      <c r="F280" s="36"/>
      <c r="G280" s="14">
        <v>4600000</v>
      </c>
      <c r="H280" s="14">
        <f t="shared" si="27"/>
        <v>1083852</v>
      </c>
      <c r="I280" s="15"/>
      <c r="J280" s="15"/>
      <c r="K280" s="15">
        <f t="shared" si="28"/>
        <v>1083852</v>
      </c>
    </row>
    <row r="281" spans="1:13" ht="33.75" customHeight="1" x14ac:dyDescent="0.2">
      <c r="A281" s="19" t="s">
        <v>769</v>
      </c>
      <c r="B281" s="19" t="s">
        <v>496</v>
      </c>
      <c r="C281" s="20" t="s">
        <v>500</v>
      </c>
      <c r="D281" s="19" t="s">
        <v>43</v>
      </c>
      <c r="E281" s="36" t="s">
        <v>770</v>
      </c>
      <c r="F281" s="36"/>
      <c r="G281" s="14" t="s">
        <v>502</v>
      </c>
      <c r="H281" s="14">
        <f t="shared" si="27"/>
        <v>0</v>
      </c>
      <c r="I281" s="15"/>
      <c r="J281" s="15"/>
      <c r="K281" s="15">
        <f t="shared" si="28"/>
        <v>0</v>
      </c>
    </row>
    <row r="282" spans="1:13" ht="33.75" customHeight="1" x14ac:dyDescent="0.2">
      <c r="A282" s="19" t="s">
        <v>771</v>
      </c>
      <c r="B282" s="19" t="s">
        <v>504</v>
      </c>
      <c r="C282" s="20" t="s">
        <v>505</v>
      </c>
      <c r="D282" s="19" t="s">
        <v>43</v>
      </c>
      <c r="E282" s="36" t="s">
        <v>772</v>
      </c>
      <c r="F282" s="36"/>
      <c r="G282" s="14">
        <v>4600000</v>
      </c>
      <c r="H282" s="14">
        <f t="shared" si="27"/>
        <v>19260660</v>
      </c>
      <c r="I282" s="15"/>
      <c r="J282" s="15"/>
      <c r="K282" s="15">
        <f t="shared" si="28"/>
        <v>19260660</v>
      </c>
    </row>
    <row r="283" spans="1:13" ht="22.5" customHeight="1" x14ac:dyDescent="0.2">
      <c r="A283" s="19" t="s">
        <v>773</v>
      </c>
      <c r="B283" s="19" t="s">
        <v>774</v>
      </c>
      <c r="C283" s="20" t="s">
        <v>775</v>
      </c>
      <c r="D283" s="19" t="s">
        <v>43</v>
      </c>
      <c r="E283" s="36" t="s">
        <v>776</v>
      </c>
      <c r="F283" s="36"/>
      <c r="G283" s="14">
        <v>4600000</v>
      </c>
      <c r="H283" s="14">
        <f t="shared" si="27"/>
        <v>52822536</v>
      </c>
      <c r="I283" s="15"/>
      <c r="J283" s="15"/>
      <c r="K283" s="15">
        <f t="shared" si="28"/>
        <v>52822536</v>
      </c>
    </row>
    <row r="284" spans="1:13" ht="12.75" customHeight="1" x14ac:dyDescent="0.2">
      <c r="A284" s="37"/>
      <c r="B284" s="37"/>
      <c r="C284" s="37"/>
      <c r="D284" s="37"/>
      <c r="E284" s="37"/>
      <c r="F284" s="37"/>
      <c r="G284" s="14"/>
      <c r="H284" s="14">
        <f t="shared" si="27"/>
        <v>0</v>
      </c>
      <c r="I284" s="15"/>
      <c r="J284" s="15"/>
      <c r="K284" s="15">
        <f t="shared" si="28"/>
        <v>0</v>
      </c>
    </row>
    <row r="285" spans="1:13" ht="12.75" customHeight="1" x14ac:dyDescent="0.2">
      <c r="A285" s="37" t="s">
        <v>777</v>
      </c>
      <c r="B285" s="37"/>
      <c r="C285" s="37"/>
      <c r="D285" s="37"/>
      <c r="E285" s="37"/>
      <c r="F285" s="37"/>
      <c r="G285" s="14"/>
      <c r="H285" s="14">
        <f t="shared" si="27"/>
        <v>0</v>
      </c>
      <c r="I285" s="15"/>
      <c r="J285" s="15"/>
      <c r="K285" s="15">
        <f t="shared" si="28"/>
        <v>0</v>
      </c>
    </row>
    <row r="286" spans="1:13" x14ac:dyDescent="0.2">
      <c r="A286" s="6" t="s">
        <v>778</v>
      </c>
      <c r="B286" s="6" t="s">
        <v>686</v>
      </c>
      <c r="C286" s="7" t="s">
        <v>687</v>
      </c>
      <c r="D286" s="6" t="s">
        <v>118</v>
      </c>
      <c r="E286" s="35" t="s">
        <v>779</v>
      </c>
      <c r="F286" s="35"/>
      <c r="G286" s="8">
        <v>0</v>
      </c>
      <c r="H286" s="8">
        <f t="shared" si="27"/>
        <v>0</v>
      </c>
      <c r="I286" s="9"/>
      <c r="J286" s="9"/>
      <c r="K286" s="9">
        <f t="shared" si="28"/>
        <v>0</v>
      </c>
      <c r="L286" s="10"/>
      <c r="M286" s="10"/>
    </row>
    <row r="287" spans="1:13" x14ac:dyDescent="0.2">
      <c r="A287" s="11" t="s">
        <v>780</v>
      </c>
      <c r="B287" s="11" t="s">
        <v>19</v>
      </c>
      <c r="C287" s="12" t="s">
        <v>20</v>
      </c>
      <c r="D287" s="11" t="s">
        <v>21</v>
      </c>
      <c r="E287" s="13" t="s">
        <v>690</v>
      </c>
      <c r="F287" s="13" t="s">
        <v>781</v>
      </c>
      <c r="G287" s="14">
        <v>15807.93</v>
      </c>
      <c r="H287" s="14">
        <f t="shared" si="27"/>
        <v>14235384.313239601</v>
      </c>
      <c r="I287" s="15">
        <f>H287</f>
        <v>14235384.313239601</v>
      </c>
      <c r="J287" s="15"/>
      <c r="K287" s="15"/>
    </row>
    <row r="288" spans="1:13" x14ac:dyDescent="0.2">
      <c r="A288" s="16" t="s">
        <v>782</v>
      </c>
      <c r="B288" s="16" t="s">
        <v>25</v>
      </c>
      <c r="C288" s="17" t="s">
        <v>26</v>
      </c>
      <c r="D288" s="16" t="s">
        <v>21</v>
      </c>
      <c r="E288" s="18" t="s">
        <v>693</v>
      </c>
      <c r="F288" s="18" t="s">
        <v>783</v>
      </c>
      <c r="G288" s="8">
        <v>0</v>
      </c>
      <c r="H288" s="8">
        <f t="shared" si="27"/>
        <v>0</v>
      </c>
      <c r="I288" s="9"/>
      <c r="J288" s="9">
        <f t="shared" ref="J288:J295" si="29">H288</f>
        <v>0</v>
      </c>
      <c r="K288" s="9"/>
      <c r="L288" s="10"/>
      <c r="M288" s="10"/>
    </row>
    <row r="289" spans="1:13" x14ac:dyDescent="0.2">
      <c r="A289" s="11" t="s">
        <v>784</v>
      </c>
      <c r="B289" s="11" t="s">
        <v>193</v>
      </c>
      <c r="C289" s="12" t="s">
        <v>194</v>
      </c>
      <c r="D289" s="11" t="s">
        <v>32</v>
      </c>
      <c r="E289" s="13" t="s">
        <v>195</v>
      </c>
      <c r="F289" s="13" t="s">
        <v>785</v>
      </c>
      <c r="G289" s="14">
        <v>54800</v>
      </c>
      <c r="H289" s="14">
        <f t="shared" si="27"/>
        <v>8489.9448000000011</v>
      </c>
      <c r="I289" s="15"/>
      <c r="J289" s="15">
        <f t="shared" si="29"/>
        <v>8489.9448000000011</v>
      </c>
      <c r="K289" s="15"/>
    </row>
    <row r="290" spans="1:13" x14ac:dyDescent="0.2">
      <c r="A290" s="11" t="s">
        <v>786</v>
      </c>
      <c r="B290" s="11" t="s">
        <v>153</v>
      </c>
      <c r="C290" s="12" t="s">
        <v>154</v>
      </c>
      <c r="D290" s="11" t="s">
        <v>32</v>
      </c>
      <c r="E290" s="13" t="s">
        <v>698</v>
      </c>
      <c r="F290" s="13" t="s">
        <v>787</v>
      </c>
      <c r="G290" s="14">
        <v>580</v>
      </c>
      <c r="H290" s="14">
        <f t="shared" si="27"/>
        <v>20593.911519999998</v>
      </c>
      <c r="I290" s="15"/>
      <c r="J290" s="15">
        <f t="shared" si="29"/>
        <v>20593.911519999998</v>
      </c>
      <c r="K290" s="15"/>
    </row>
    <row r="291" spans="1:13" ht="33.75" customHeight="1" x14ac:dyDescent="0.2">
      <c r="A291" s="11" t="s">
        <v>788</v>
      </c>
      <c r="B291" s="11" t="s">
        <v>158</v>
      </c>
      <c r="C291" s="12" t="s">
        <v>159</v>
      </c>
      <c r="D291" s="11" t="s">
        <v>32</v>
      </c>
      <c r="E291" s="13" t="s">
        <v>701</v>
      </c>
      <c r="F291" s="13" t="s">
        <v>789</v>
      </c>
      <c r="G291" s="14">
        <v>45270</v>
      </c>
      <c r="H291" s="14">
        <f t="shared" si="27"/>
        <v>2423553.8958000001</v>
      </c>
      <c r="I291" s="15"/>
      <c r="J291" s="15">
        <f t="shared" si="29"/>
        <v>2423553.8958000001</v>
      </c>
      <c r="K291" s="15"/>
    </row>
    <row r="292" spans="1:13" ht="33.75" customHeight="1" x14ac:dyDescent="0.2">
      <c r="A292" s="11" t="s">
        <v>790</v>
      </c>
      <c r="B292" s="11" t="s">
        <v>204</v>
      </c>
      <c r="C292" s="12" t="s">
        <v>205</v>
      </c>
      <c r="D292" s="11" t="s">
        <v>32</v>
      </c>
      <c r="E292" s="13" t="s">
        <v>704</v>
      </c>
      <c r="F292" s="13" t="s">
        <v>791</v>
      </c>
      <c r="G292" s="14">
        <v>102000</v>
      </c>
      <c r="H292" s="14">
        <f t="shared" si="27"/>
        <v>166218.38399999999</v>
      </c>
      <c r="I292" s="15"/>
      <c r="J292" s="15">
        <f t="shared" si="29"/>
        <v>166218.38399999999</v>
      </c>
      <c r="K292" s="15"/>
    </row>
    <row r="293" spans="1:13" x14ac:dyDescent="0.2">
      <c r="A293" s="11" t="s">
        <v>792</v>
      </c>
      <c r="B293" s="11" t="s">
        <v>209</v>
      </c>
      <c r="C293" s="12" t="s">
        <v>210</v>
      </c>
      <c r="D293" s="11" t="s">
        <v>32</v>
      </c>
      <c r="E293" s="13" t="s">
        <v>707</v>
      </c>
      <c r="F293" s="13" t="s">
        <v>793</v>
      </c>
      <c r="G293" s="14">
        <v>873</v>
      </c>
      <c r="H293" s="14">
        <f t="shared" si="27"/>
        <v>951.76206000000002</v>
      </c>
      <c r="I293" s="15"/>
      <c r="J293" s="15">
        <f t="shared" si="29"/>
        <v>951.76206000000002</v>
      </c>
      <c r="K293" s="15"/>
    </row>
    <row r="294" spans="1:13" ht="22.5" customHeight="1" x14ac:dyDescent="0.2">
      <c r="A294" s="11" t="s">
        <v>794</v>
      </c>
      <c r="B294" s="11" t="s">
        <v>214</v>
      </c>
      <c r="C294" s="12" t="s">
        <v>215</v>
      </c>
      <c r="D294" s="11" t="s">
        <v>32</v>
      </c>
      <c r="E294" s="13" t="s">
        <v>710</v>
      </c>
      <c r="F294" s="13" t="s">
        <v>795</v>
      </c>
      <c r="G294" s="14">
        <v>3200</v>
      </c>
      <c r="H294" s="14">
        <f t="shared" si="27"/>
        <v>229428.19199999998</v>
      </c>
      <c r="I294" s="15"/>
      <c r="J294" s="15">
        <f t="shared" si="29"/>
        <v>229428.19199999998</v>
      </c>
      <c r="K294" s="15"/>
    </row>
    <row r="295" spans="1:13" ht="22.5" customHeight="1" x14ac:dyDescent="0.2">
      <c r="A295" s="11" t="s">
        <v>796</v>
      </c>
      <c r="B295" s="11" t="s">
        <v>163</v>
      </c>
      <c r="C295" s="12" t="s">
        <v>164</v>
      </c>
      <c r="D295" s="11" t="s">
        <v>32</v>
      </c>
      <c r="E295" s="13" t="s">
        <v>713</v>
      </c>
      <c r="F295" s="13" t="s">
        <v>797</v>
      </c>
      <c r="G295" s="14">
        <v>52621.06</v>
      </c>
      <c r="H295" s="14">
        <f t="shared" si="27"/>
        <v>128928.22725355999</v>
      </c>
      <c r="I295" s="15"/>
      <c r="J295" s="15">
        <f t="shared" si="29"/>
        <v>128928.22725355999</v>
      </c>
      <c r="K295" s="15"/>
    </row>
    <row r="296" spans="1:13" x14ac:dyDescent="0.2">
      <c r="A296" s="11" t="s">
        <v>798</v>
      </c>
      <c r="B296" s="11" t="s">
        <v>168</v>
      </c>
      <c r="C296" s="12" t="s">
        <v>105</v>
      </c>
      <c r="D296" s="11" t="s">
        <v>60</v>
      </c>
      <c r="E296" s="13" t="s">
        <v>625</v>
      </c>
      <c r="F296" s="13" t="s">
        <v>799</v>
      </c>
      <c r="G296" s="14">
        <v>0</v>
      </c>
      <c r="H296" s="14">
        <f t="shared" si="27"/>
        <v>0</v>
      </c>
      <c r="I296" s="15"/>
      <c r="J296" s="15"/>
      <c r="K296" s="15">
        <f t="shared" ref="K296:K304" si="30">H296</f>
        <v>0</v>
      </c>
    </row>
    <row r="297" spans="1:13" x14ac:dyDescent="0.2">
      <c r="A297" s="11" t="s">
        <v>800</v>
      </c>
      <c r="B297" s="11" t="s">
        <v>718</v>
      </c>
      <c r="C297" s="12" t="s">
        <v>719</v>
      </c>
      <c r="D297" s="11" t="s">
        <v>60</v>
      </c>
      <c r="E297" s="13" t="s">
        <v>227</v>
      </c>
      <c r="F297" s="13" t="s">
        <v>801</v>
      </c>
      <c r="G297" s="14">
        <v>490000</v>
      </c>
      <c r="H297" s="14">
        <f t="shared" si="27"/>
        <v>28537943</v>
      </c>
      <c r="I297" s="15"/>
      <c r="J297" s="15"/>
      <c r="K297" s="15">
        <f t="shared" si="30"/>
        <v>28537943</v>
      </c>
    </row>
    <row r="298" spans="1:13" x14ac:dyDescent="0.2">
      <c r="A298" s="11" t="s">
        <v>802</v>
      </c>
      <c r="B298" s="11" t="s">
        <v>230</v>
      </c>
      <c r="C298" s="12" t="s">
        <v>231</v>
      </c>
      <c r="D298" s="11" t="s">
        <v>43</v>
      </c>
      <c r="E298" s="13" t="s">
        <v>552</v>
      </c>
      <c r="F298" s="13" t="s">
        <v>803</v>
      </c>
      <c r="G298" s="14">
        <v>8200000</v>
      </c>
      <c r="H298" s="14">
        <f t="shared" si="27"/>
        <v>211732.2</v>
      </c>
      <c r="I298" s="15"/>
      <c r="J298" s="15"/>
      <c r="K298" s="15">
        <f t="shared" si="30"/>
        <v>211732.2</v>
      </c>
    </row>
    <row r="299" spans="1:13" ht="22.5" customHeight="1" x14ac:dyDescent="0.2">
      <c r="A299" s="11" t="s">
        <v>804</v>
      </c>
      <c r="B299" s="11" t="s">
        <v>235</v>
      </c>
      <c r="C299" s="12" t="s">
        <v>236</v>
      </c>
      <c r="D299" s="11" t="s">
        <v>43</v>
      </c>
      <c r="E299" s="13" t="s">
        <v>724</v>
      </c>
      <c r="F299" s="13" t="s">
        <v>805</v>
      </c>
      <c r="G299" s="14">
        <v>650000</v>
      </c>
      <c r="H299" s="14">
        <f t="shared" si="27"/>
        <v>31329.48</v>
      </c>
      <c r="I299" s="15"/>
      <c r="J299" s="15"/>
      <c r="K299" s="15">
        <f t="shared" si="30"/>
        <v>31329.48</v>
      </c>
    </row>
    <row r="300" spans="1:13" x14ac:dyDescent="0.2">
      <c r="A300" s="11" t="s">
        <v>806</v>
      </c>
      <c r="B300" s="11" t="s">
        <v>245</v>
      </c>
      <c r="C300" s="12" t="s">
        <v>246</v>
      </c>
      <c r="D300" s="11" t="s">
        <v>43</v>
      </c>
      <c r="E300" s="13" t="s">
        <v>622</v>
      </c>
      <c r="F300" s="13" t="s">
        <v>807</v>
      </c>
      <c r="G300" s="14">
        <v>10300000</v>
      </c>
      <c r="H300" s="14">
        <f t="shared" si="27"/>
        <v>886520.99999999988</v>
      </c>
      <c r="I300" s="15"/>
      <c r="J300" s="15"/>
      <c r="K300" s="15">
        <f t="shared" si="30"/>
        <v>886520.99999999988</v>
      </c>
    </row>
    <row r="301" spans="1:13" ht="33.75" customHeight="1" x14ac:dyDescent="0.2">
      <c r="A301" s="11" t="s">
        <v>808</v>
      </c>
      <c r="B301" s="11" t="s">
        <v>729</v>
      </c>
      <c r="C301" s="12" t="s">
        <v>730</v>
      </c>
      <c r="D301" s="11" t="s">
        <v>60</v>
      </c>
      <c r="E301" s="13" t="s">
        <v>731</v>
      </c>
      <c r="F301" s="13" t="s">
        <v>809</v>
      </c>
      <c r="G301" s="14">
        <v>2000000</v>
      </c>
      <c r="H301" s="14">
        <f t="shared" si="27"/>
        <v>1950920</v>
      </c>
      <c r="I301" s="15"/>
      <c r="J301" s="15"/>
      <c r="K301" s="15">
        <f t="shared" si="30"/>
        <v>1950920</v>
      </c>
    </row>
    <row r="302" spans="1:13" ht="22.5" customHeight="1" x14ac:dyDescent="0.2">
      <c r="A302" s="11" t="s">
        <v>810</v>
      </c>
      <c r="B302" s="11" t="s">
        <v>734</v>
      </c>
      <c r="C302" s="12" t="s">
        <v>735</v>
      </c>
      <c r="D302" s="11" t="s">
        <v>60</v>
      </c>
      <c r="E302" s="13" t="s">
        <v>625</v>
      </c>
      <c r="F302" s="13" t="s">
        <v>799</v>
      </c>
      <c r="G302" s="14">
        <v>2000000</v>
      </c>
      <c r="H302" s="14">
        <f t="shared" si="27"/>
        <v>286900</v>
      </c>
      <c r="I302" s="15"/>
      <c r="J302" s="15"/>
      <c r="K302" s="15">
        <f t="shared" si="30"/>
        <v>286900</v>
      </c>
    </row>
    <row r="303" spans="1:13" x14ac:dyDescent="0.2">
      <c r="A303" s="11" t="s">
        <v>811</v>
      </c>
      <c r="B303" s="11" t="s">
        <v>563</v>
      </c>
      <c r="C303" s="12" t="s">
        <v>564</v>
      </c>
      <c r="D303" s="11" t="s">
        <v>179</v>
      </c>
      <c r="E303" s="13" t="s">
        <v>737</v>
      </c>
      <c r="F303" s="13" t="s">
        <v>812</v>
      </c>
      <c r="G303" s="14">
        <v>25000</v>
      </c>
      <c r="H303" s="14">
        <f t="shared" si="27"/>
        <v>1936574.9999999998</v>
      </c>
      <c r="I303" s="15"/>
      <c r="J303" s="15"/>
      <c r="K303" s="15">
        <f t="shared" si="30"/>
        <v>1936574.9999999998</v>
      </c>
    </row>
    <row r="304" spans="1:13" ht="33.75" customHeight="1" x14ac:dyDescent="0.2">
      <c r="A304" s="6" t="s">
        <v>813</v>
      </c>
      <c r="B304" s="6" t="s">
        <v>263</v>
      </c>
      <c r="C304" s="7" t="s">
        <v>264</v>
      </c>
      <c r="D304" s="6" t="s">
        <v>43</v>
      </c>
      <c r="E304" s="35" t="s">
        <v>814</v>
      </c>
      <c r="F304" s="35"/>
      <c r="G304" s="8">
        <v>0</v>
      </c>
      <c r="H304" s="8">
        <f t="shared" si="27"/>
        <v>0</v>
      </c>
      <c r="I304" s="9"/>
      <c r="J304" s="9"/>
      <c r="K304" s="9">
        <f t="shared" si="30"/>
        <v>0</v>
      </c>
      <c r="L304" s="10"/>
      <c r="M304" s="10"/>
    </row>
    <row r="305" spans="1:13" x14ac:dyDescent="0.2">
      <c r="A305" s="11" t="s">
        <v>815</v>
      </c>
      <c r="B305" s="11" t="s">
        <v>19</v>
      </c>
      <c r="C305" s="12" t="s">
        <v>20</v>
      </c>
      <c r="D305" s="11" t="s">
        <v>21</v>
      </c>
      <c r="E305" s="13" t="s">
        <v>267</v>
      </c>
      <c r="F305" s="13" t="s">
        <v>816</v>
      </c>
      <c r="G305" s="14">
        <v>15807.93</v>
      </c>
      <c r="H305" s="14">
        <f t="shared" si="27"/>
        <v>12137611.932105599</v>
      </c>
      <c r="I305" s="15">
        <f>H305</f>
        <v>12137611.932105599</v>
      </c>
      <c r="J305" s="15"/>
      <c r="K305" s="15"/>
    </row>
    <row r="306" spans="1:13" x14ac:dyDescent="0.2">
      <c r="A306" s="16" t="s">
        <v>817</v>
      </c>
      <c r="B306" s="16" t="s">
        <v>25</v>
      </c>
      <c r="C306" s="17" t="s">
        <v>26</v>
      </c>
      <c r="D306" s="16" t="s">
        <v>21</v>
      </c>
      <c r="E306" s="18" t="s">
        <v>270</v>
      </c>
      <c r="F306" s="18" t="s">
        <v>818</v>
      </c>
      <c r="G306" s="8">
        <v>0</v>
      </c>
      <c r="H306" s="8">
        <f t="shared" si="27"/>
        <v>0</v>
      </c>
      <c r="I306" s="9"/>
      <c r="J306" s="9">
        <f t="shared" ref="J306:J313" si="31">H306</f>
        <v>0</v>
      </c>
      <c r="K306" s="9"/>
      <c r="L306" s="10"/>
      <c r="M306" s="10"/>
    </row>
    <row r="307" spans="1:13" x14ac:dyDescent="0.2">
      <c r="A307" s="11" t="s">
        <v>819</v>
      </c>
      <c r="B307" s="11" t="s">
        <v>193</v>
      </c>
      <c r="C307" s="12" t="s">
        <v>194</v>
      </c>
      <c r="D307" s="11" t="s">
        <v>32</v>
      </c>
      <c r="E307" s="13" t="s">
        <v>206</v>
      </c>
      <c r="F307" s="13" t="s">
        <v>820</v>
      </c>
      <c r="G307" s="14">
        <v>54800</v>
      </c>
      <c r="H307" s="14">
        <f t="shared" si="27"/>
        <v>522754.73599999998</v>
      </c>
      <c r="I307" s="15"/>
      <c r="J307" s="15">
        <f t="shared" si="31"/>
        <v>522754.73599999998</v>
      </c>
      <c r="K307" s="15"/>
    </row>
    <row r="308" spans="1:13" ht="33.75" customHeight="1" x14ac:dyDescent="0.2">
      <c r="A308" s="11" t="s">
        <v>821</v>
      </c>
      <c r="B308" s="11" t="s">
        <v>158</v>
      </c>
      <c r="C308" s="12" t="s">
        <v>159</v>
      </c>
      <c r="D308" s="11" t="s">
        <v>32</v>
      </c>
      <c r="E308" s="13" t="s">
        <v>275</v>
      </c>
      <c r="F308" s="13" t="s">
        <v>822</v>
      </c>
      <c r="G308" s="14">
        <v>45270</v>
      </c>
      <c r="H308" s="14">
        <f t="shared" si="27"/>
        <v>61692.145199999999</v>
      </c>
      <c r="I308" s="15"/>
      <c r="J308" s="15">
        <f t="shared" si="31"/>
        <v>61692.145199999999</v>
      </c>
      <c r="K308" s="15"/>
    </row>
    <row r="309" spans="1:13" x14ac:dyDescent="0.2">
      <c r="A309" s="11" t="s">
        <v>823</v>
      </c>
      <c r="B309" s="11" t="s">
        <v>278</v>
      </c>
      <c r="C309" s="12" t="s">
        <v>279</v>
      </c>
      <c r="D309" s="11" t="s">
        <v>32</v>
      </c>
      <c r="E309" s="13" t="s">
        <v>280</v>
      </c>
      <c r="F309" s="13" t="s">
        <v>824</v>
      </c>
      <c r="G309" s="14">
        <v>637.55999999999995</v>
      </c>
      <c r="H309" s="14">
        <f t="shared" si="27"/>
        <v>744.72108479999997</v>
      </c>
      <c r="I309" s="15"/>
      <c r="J309" s="15">
        <f t="shared" si="31"/>
        <v>744.72108479999997</v>
      </c>
      <c r="K309" s="15"/>
    </row>
    <row r="310" spans="1:13" x14ac:dyDescent="0.2">
      <c r="A310" s="11" t="s">
        <v>825</v>
      </c>
      <c r="B310" s="11" t="s">
        <v>283</v>
      </c>
      <c r="C310" s="12" t="s">
        <v>284</v>
      </c>
      <c r="D310" s="11" t="s">
        <v>32</v>
      </c>
      <c r="E310" s="13" t="s">
        <v>285</v>
      </c>
      <c r="F310" s="13" t="s">
        <v>826</v>
      </c>
      <c r="G310" s="14">
        <v>650</v>
      </c>
      <c r="H310" s="14">
        <f t="shared" si="27"/>
        <v>8857.9399999999987</v>
      </c>
      <c r="I310" s="15"/>
      <c r="J310" s="15">
        <f t="shared" si="31"/>
        <v>8857.9399999999987</v>
      </c>
      <c r="K310" s="15"/>
    </row>
    <row r="311" spans="1:13" ht="22.5" customHeight="1" x14ac:dyDescent="0.2">
      <c r="A311" s="11" t="s">
        <v>827</v>
      </c>
      <c r="B311" s="11" t="s">
        <v>288</v>
      </c>
      <c r="C311" s="12" t="s">
        <v>289</v>
      </c>
      <c r="D311" s="11" t="s">
        <v>32</v>
      </c>
      <c r="E311" s="13" t="s">
        <v>165</v>
      </c>
      <c r="F311" s="13" t="s">
        <v>828</v>
      </c>
      <c r="G311" s="14">
        <v>25650</v>
      </c>
      <c r="H311" s="14">
        <f t="shared" si="27"/>
        <v>32458.023000000001</v>
      </c>
      <c r="I311" s="15"/>
      <c r="J311" s="15">
        <f t="shared" si="31"/>
        <v>32458.023000000001</v>
      </c>
      <c r="K311" s="15"/>
    </row>
    <row r="312" spans="1:13" x14ac:dyDescent="0.2">
      <c r="A312" s="11" t="s">
        <v>829</v>
      </c>
      <c r="B312" s="11" t="s">
        <v>292</v>
      </c>
      <c r="C312" s="12" t="s">
        <v>293</v>
      </c>
      <c r="D312" s="11" t="s">
        <v>32</v>
      </c>
      <c r="E312" s="13" t="s">
        <v>294</v>
      </c>
      <c r="F312" s="13" t="s">
        <v>830</v>
      </c>
      <c r="G312" s="14">
        <v>874.37</v>
      </c>
      <c r="H312" s="14">
        <f t="shared" si="27"/>
        <v>7319.5611188000003</v>
      </c>
      <c r="I312" s="15"/>
      <c r="J312" s="15">
        <f t="shared" si="31"/>
        <v>7319.5611188000003</v>
      </c>
      <c r="K312" s="15"/>
    </row>
    <row r="313" spans="1:13" x14ac:dyDescent="0.2">
      <c r="A313" s="11" t="s">
        <v>831</v>
      </c>
      <c r="B313" s="11" t="s">
        <v>297</v>
      </c>
      <c r="C313" s="12" t="s">
        <v>298</v>
      </c>
      <c r="D313" s="11" t="s">
        <v>32</v>
      </c>
      <c r="E313" s="13" t="s">
        <v>299</v>
      </c>
      <c r="F313" s="13" t="s">
        <v>832</v>
      </c>
      <c r="G313" s="14">
        <v>645</v>
      </c>
      <c r="H313" s="14">
        <f t="shared" si="27"/>
        <v>13184.703000000001</v>
      </c>
      <c r="I313" s="15"/>
      <c r="J313" s="15">
        <f t="shared" si="31"/>
        <v>13184.703000000001</v>
      </c>
      <c r="K313" s="15"/>
    </row>
    <row r="314" spans="1:13" x14ac:dyDescent="0.2">
      <c r="A314" s="11" t="s">
        <v>833</v>
      </c>
      <c r="B314" s="11" t="s">
        <v>302</v>
      </c>
      <c r="C314" s="12" t="s">
        <v>303</v>
      </c>
      <c r="D314" s="11" t="s">
        <v>60</v>
      </c>
      <c r="E314" s="13" t="s">
        <v>304</v>
      </c>
      <c r="F314" s="13" t="s">
        <v>834</v>
      </c>
      <c r="G314" s="14">
        <v>4500</v>
      </c>
      <c r="H314" s="14">
        <f t="shared" si="27"/>
        <v>113887.79999999999</v>
      </c>
      <c r="I314" s="15"/>
      <c r="J314" s="15"/>
      <c r="K314" s="15">
        <f t="shared" ref="K314:K325" si="32">H314</f>
        <v>113887.79999999999</v>
      </c>
    </row>
    <row r="315" spans="1:13" x14ac:dyDescent="0.2">
      <c r="A315" s="11" t="s">
        <v>835</v>
      </c>
      <c r="B315" s="11" t="s">
        <v>307</v>
      </c>
      <c r="C315" s="12" t="s">
        <v>308</v>
      </c>
      <c r="D315" s="11" t="s">
        <v>43</v>
      </c>
      <c r="E315" s="13" t="s">
        <v>309</v>
      </c>
      <c r="F315" s="13" t="s">
        <v>836</v>
      </c>
      <c r="G315" s="14">
        <v>5941000</v>
      </c>
      <c r="H315" s="14">
        <f t="shared" si="27"/>
        <v>404807.85800000001</v>
      </c>
      <c r="I315" s="15"/>
      <c r="J315" s="15"/>
      <c r="K315" s="15">
        <f t="shared" si="32"/>
        <v>404807.85800000001</v>
      </c>
    </row>
    <row r="316" spans="1:13" x14ac:dyDescent="0.2">
      <c r="A316" s="11" t="s">
        <v>837</v>
      </c>
      <c r="B316" s="11" t="s">
        <v>312</v>
      </c>
      <c r="C316" s="12" t="s">
        <v>313</v>
      </c>
      <c r="D316" s="11" t="s">
        <v>314</v>
      </c>
      <c r="E316" s="13" t="s">
        <v>315</v>
      </c>
      <c r="F316" s="13" t="s">
        <v>838</v>
      </c>
      <c r="G316" s="14">
        <v>6500</v>
      </c>
      <c r="H316" s="14">
        <f t="shared" si="27"/>
        <v>31635.5</v>
      </c>
      <c r="I316" s="15"/>
      <c r="J316" s="15"/>
      <c r="K316" s="15">
        <f t="shared" si="32"/>
        <v>31635.5</v>
      </c>
    </row>
    <row r="317" spans="1:13" x14ac:dyDescent="0.2">
      <c r="A317" s="11" t="s">
        <v>839</v>
      </c>
      <c r="B317" s="11" t="s">
        <v>318</v>
      </c>
      <c r="C317" s="12" t="s">
        <v>319</v>
      </c>
      <c r="D317" s="11" t="s">
        <v>320</v>
      </c>
      <c r="E317" s="13" t="s">
        <v>321</v>
      </c>
      <c r="F317" s="13" t="s">
        <v>840</v>
      </c>
      <c r="G317" s="14">
        <v>3200</v>
      </c>
      <c r="H317" s="14">
        <f t="shared" si="27"/>
        <v>56067.840000000004</v>
      </c>
      <c r="I317" s="15"/>
      <c r="J317" s="15"/>
      <c r="K317" s="15">
        <f t="shared" si="32"/>
        <v>56067.840000000004</v>
      </c>
    </row>
    <row r="318" spans="1:13" ht="33.75" customHeight="1" x14ac:dyDescent="0.2">
      <c r="A318" s="19" t="s">
        <v>841</v>
      </c>
      <c r="B318" s="19" t="s">
        <v>504</v>
      </c>
      <c r="C318" s="20" t="s">
        <v>505</v>
      </c>
      <c r="D318" s="19" t="s">
        <v>43</v>
      </c>
      <c r="E318" s="36" t="s">
        <v>842</v>
      </c>
      <c r="F318" s="36"/>
      <c r="G318" s="14">
        <v>4600000</v>
      </c>
      <c r="H318" s="14">
        <f t="shared" si="27"/>
        <v>3340704</v>
      </c>
      <c r="I318" s="15"/>
      <c r="J318" s="15"/>
      <c r="K318" s="15">
        <f t="shared" si="32"/>
        <v>3340704</v>
      </c>
    </row>
    <row r="319" spans="1:13" ht="33.75" customHeight="1" x14ac:dyDescent="0.2">
      <c r="A319" s="19" t="s">
        <v>843</v>
      </c>
      <c r="B319" s="19" t="s">
        <v>844</v>
      </c>
      <c r="C319" s="20" t="s">
        <v>845</v>
      </c>
      <c r="D319" s="19" t="s">
        <v>43</v>
      </c>
      <c r="E319" s="36" t="s">
        <v>846</v>
      </c>
      <c r="F319" s="36"/>
      <c r="G319" s="14">
        <v>4600000</v>
      </c>
      <c r="H319" s="14">
        <f t="shared" si="27"/>
        <v>19424880</v>
      </c>
      <c r="I319" s="15"/>
      <c r="J319" s="15"/>
      <c r="K319" s="15">
        <f t="shared" si="32"/>
        <v>19424880</v>
      </c>
    </row>
    <row r="320" spans="1:13" ht="33.75" customHeight="1" x14ac:dyDescent="0.2">
      <c r="A320" s="19" t="s">
        <v>847</v>
      </c>
      <c r="B320" s="19" t="s">
        <v>595</v>
      </c>
      <c r="C320" s="20" t="s">
        <v>596</v>
      </c>
      <c r="D320" s="19" t="s">
        <v>43</v>
      </c>
      <c r="E320" s="36" t="s">
        <v>848</v>
      </c>
      <c r="F320" s="36"/>
      <c r="G320" s="14">
        <v>4600000</v>
      </c>
      <c r="H320" s="14">
        <f t="shared" si="27"/>
        <v>4715460</v>
      </c>
      <c r="I320" s="15"/>
      <c r="J320" s="15"/>
      <c r="K320" s="15">
        <f t="shared" si="32"/>
        <v>4715460</v>
      </c>
    </row>
    <row r="321" spans="1:13" ht="22.5" customHeight="1" x14ac:dyDescent="0.2">
      <c r="A321" s="19" t="s">
        <v>849</v>
      </c>
      <c r="B321" s="19" t="s">
        <v>850</v>
      </c>
      <c r="C321" s="20" t="s">
        <v>851</v>
      </c>
      <c r="D321" s="19" t="s">
        <v>43</v>
      </c>
      <c r="E321" s="36" t="s">
        <v>852</v>
      </c>
      <c r="F321" s="36"/>
      <c r="G321" s="14">
        <v>4600000</v>
      </c>
      <c r="H321" s="14">
        <f t="shared" si="27"/>
        <v>17416704</v>
      </c>
      <c r="I321" s="15"/>
      <c r="J321" s="15"/>
      <c r="K321" s="15">
        <f t="shared" si="32"/>
        <v>17416704</v>
      </c>
    </row>
    <row r="322" spans="1:13" x14ac:dyDescent="0.2">
      <c r="A322" s="19" t="s">
        <v>155</v>
      </c>
      <c r="B322" s="19" t="s">
        <v>853</v>
      </c>
      <c r="C322" s="20" t="s">
        <v>854</v>
      </c>
      <c r="D322" s="19" t="s">
        <v>43</v>
      </c>
      <c r="E322" s="36" t="s">
        <v>855</v>
      </c>
      <c r="F322" s="36"/>
      <c r="G322" s="14">
        <v>6040000</v>
      </c>
      <c r="H322" s="14">
        <f t="shared" si="27"/>
        <v>996600</v>
      </c>
      <c r="I322" s="15"/>
      <c r="J322" s="15"/>
      <c r="K322" s="15">
        <f t="shared" si="32"/>
        <v>996600</v>
      </c>
    </row>
    <row r="323" spans="1:13" ht="12.75" customHeight="1" x14ac:dyDescent="0.2">
      <c r="A323" s="37"/>
      <c r="B323" s="37"/>
      <c r="C323" s="37"/>
      <c r="D323" s="37"/>
      <c r="E323" s="37"/>
      <c r="F323" s="37"/>
      <c r="G323" s="14"/>
      <c r="H323" s="14">
        <f t="shared" si="27"/>
        <v>0</v>
      </c>
      <c r="I323" s="15"/>
      <c r="J323" s="15"/>
      <c r="K323" s="15">
        <f t="shared" si="32"/>
        <v>0</v>
      </c>
    </row>
    <row r="324" spans="1:13" ht="12.75" customHeight="1" x14ac:dyDescent="0.2">
      <c r="A324" s="37" t="s">
        <v>856</v>
      </c>
      <c r="B324" s="37"/>
      <c r="C324" s="37"/>
      <c r="D324" s="37"/>
      <c r="E324" s="37"/>
      <c r="F324" s="37"/>
      <c r="G324" s="14"/>
      <c r="H324" s="14">
        <f t="shared" si="27"/>
        <v>0</v>
      </c>
      <c r="I324" s="15"/>
      <c r="J324" s="15"/>
      <c r="K324" s="15">
        <f t="shared" si="32"/>
        <v>0</v>
      </c>
    </row>
    <row r="325" spans="1:13" x14ac:dyDescent="0.2">
      <c r="A325" s="6" t="s">
        <v>857</v>
      </c>
      <c r="B325" s="6" t="s">
        <v>858</v>
      </c>
      <c r="C325" s="7" t="s">
        <v>859</v>
      </c>
      <c r="D325" s="6" t="s">
        <v>118</v>
      </c>
      <c r="E325" s="35" t="s">
        <v>860</v>
      </c>
      <c r="F325" s="35"/>
      <c r="G325" s="8">
        <v>0</v>
      </c>
      <c r="H325" s="8">
        <f t="shared" si="27"/>
        <v>0</v>
      </c>
      <c r="I325" s="9"/>
      <c r="J325" s="9"/>
      <c r="K325" s="9">
        <f t="shared" si="32"/>
        <v>0</v>
      </c>
      <c r="L325" s="10"/>
      <c r="M325" s="10"/>
    </row>
    <row r="326" spans="1:13" x14ac:dyDescent="0.2">
      <c r="A326" s="11" t="s">
        <v>861</v>
      </c>
      <c r="B326" s="11" t="s">
        <v>19</v>
      </c>
      <c r="C326" s="12" t="s">
        <v>20</v>
      </c>
      <c r="D326" s="11" t="s">
        <v>21</v>
      </c>
      <c r="E326" s="13" t="s">
        <v>862</v>
      </c>
      <c r="F326" s="13" t="s">
        <v>863</v>
      </c>
      <c r="G326" s="14">
        <v>15807.93</v>
      </c>
      <c r="H326" s="14">
        <f t="shared" si="27"/>
        <v>9018161.368819261</v>
      </c>
      <c r="I326" s="15">
        <f>H326</f>
        <v>9018161.368819261</v>
      </c>
      <c r="J326" s="15"/>
      <c r="K326" s="15"/>
    </row>
    <row r="327" spans="1:13" x14ac:dyDescent="0.2">
      <c r="A327" s="16" t="s">
        <v>864</v>
      </c>
      <c r="B327" s="16" t="s">
        <v>25</v>
      </c>
      <c r="C327" s="17" t="s">
        <v>26</v>
      </c>
      <c r="D327" s="16" t="s">
        <v>21</v>
      </c>
      <c r="E327" s="18" t="s">
        <v>865</v>
      </c>
      <c r="F327" s="18" t="s">
        <v>866</v>
      </c>
      <c r="G327" s="8">
        <v>0</v>
      </c>
      <c r="H327" s="8">
        <f t="shared" si="27"/>
        <v>0</v>
      </c>
      <c r="I327" s="9"/>
      <c r="J327" s="9">
        <f>H327</f>
        <v>0</v>
      </c>
      <c r="K327" s="9"/>
      <c r="L327" s="10"/>
      <c r="M327" s="10"/>
    </row>
    <row r="328" spans="1:13" x14ac:dyDescent="0.2">
      <c r="A328" s="11" t="s">
        <v>867</v>
      </c>
      <c r="B328" s="11" t="s">
        <v>153</v>
      </c>
      <c r="C328" s="12" t="s">
        <v>154</v>
      </c>
      <c r="D328" s="11" t="s">
        <v>32</v>
      </c>
      <c r="E328" s="13" t="s">
        <v>868</v>
      </c>
      <c r="F328" s="13" t="s">
        <v>869</v>
      </c>
      <c r="G328" s="14">
        <v>580</v>
      </c>
      <c r="H328" s="14">
        <f t="shared" si="27"/>
        <v>16425.630160000001</v>
      </c>
      <c r="I328" s="15"/>
      <c r="J328" s="15">
        <f>H328</f>
        <v>16425.630160000001</v>
      </c>
      <c r="K328" s="15"/>
    </row>
    <row r="329" spans="1:13" ht="33.75" customHeight="1" x14ac:dyDescent="0.2">
      <c r="A329" s="11" t="s">
        <v>870</v>
      </c>
      <c r="B329" s="11" t="s">
        <v>158</v>
      </c>
      <c r="C329" s="12" t="s">
        <v>159</v>
      </c>
      <c r="D329" s="11" t="s">
        <v>32</v>
      </c>
      <c r="E329" s="13" t="s">
        <v>871</v>
      </c>
      <c r="F329" s="13" t="s">
        <v>872</v>
      </c>
      <c r="G329" s="14">
        <v>45270</v>
      </c>
      <c r="H329" s="14">
        <f t="shared" si="27"/>
        <v>7955907.5206800001</v>
      </c>
      <c r="I329" s="15"/>
      <c r="J329" s="15">
        <f>H329</f>
        <v>7955907.5206800001</v>
      </c>
      <c r="K329" s="15"/>
    </row>
    <row r="330" spans="1:13" ht="33.75" customHeight="1" x14ac:dyDescent="0.2">
      <c r="A330" s="11" t="s">
        <v>873</v>
      </c>
      <c r="B330" s="11" t="s">
        <v>204</v>
      </c>
      <c r="C330" s="12" t="s">
        <v>205</v>
      </c>
      <c r="D330" s="11" t="s">
        <v>32</v>
      </c>
      <c r="E330" s="13" t="s">
        <v>874</v>
      </c>
      <c r="F330" s="13" t="s">
        <v>875</v>
      </c>
      <c r="G330" s="14">
        <v>102000</v>
      </c>
      <c r="H330" s="14">
        <f t="shared" si="27"/>
        <v>84684.684000000008</v>
      </c>
      <c r="I330" s="15"/>
      <c r="J330" s="15">
        <f>H330</f>
        <v>84684.684000000008</v>
      </c>
      <c r="K330" s="15"/>
    </row>
    <row r="331" spans="1:13" ht="22.5" customHeight="1" x14ac:dyDescent="0.2">
      <c r="A331" s="11" t="s">
        <v>876</v>
      </c>
      <c r="B331" s="11" t="s">
        <v>163</v>
      </c>
      <c r="C331" s="12" t="s">
        <v>164</v>
      </c>
      <c r="D331" s="11" t="s">
        <v>32</v>
      </c>
      <c r="E331" s="13" t="s">
        <v>877</v>
      </c>
      <c r="F331" s="13" t="s">
        <v>878</v>
      </c>
      <c r="G331" s="14">
        <v>52621.06</v>
      </c>
      <c r="H331" s="14">
        <f t="shared" si="27"/>
        <v>65632.985232559993</v>
      </c>
      <c r="I331" s="15"/>
      <c r="J331" s="15">
        <f>H331</f>
        <v>65632.985232559993</v>
      </c>
      <c r="K331" s="15"/>
    </row>
    <row r="332" spans="1:13" x14ac:dyDescent="0.2">
      <c r="A332" s="11" t="s">
        <v>879</v>
      </c>
      <c r="B332" s="11" t="s">
        <v>718</v>
      </c>
      <c r="C332" s="12" t="s">
        <v>719</v>
      </c>
      <c r="D332" s="11" t="s">
        <v>60</v>
      </c>
      <c r="E332" s="13" t="s">
        <v>227</v>
      </c>
      <c r="F332" s="13" t="s">
        <v>880</v>
      </c>
      <c r="G332" s="14">
        <v>490000</v>
      </c>
      <c r="H332" s="14">
        <f t="shared" si="27"/>
        <v>19028611</v>
      </c>
      <c r="I332" s="15"/>
      <c r="J332" s="15"/>
      <c r="K332" s="15">
        <f t="shared" ref="K332:K337" si="33">H332</f>
        <v>19028611</v>
      </c>
    </row>
    <row r="333" spans="1:13" x14ac:dyDescent="0.2">
      <c r="A333" s="11" t="s">
        <v>881</v>
      </c>
      <c r="B333" s="11" t="s">
        <v>230</v>
      </c>
      <c r="C333" s="12" t="s">
        <v>231</v>
      </c>
      <c r="D333" s="11" t="s">
        <v>43</v>
      </c>
      <c r="E333" s="13" t="s">
        <v>882</v>
      </c>
      <c r="F333" s="13" t="s">
        <v>883</v>
      </c>
      <c r="G333" s="14">
        <v>8200000</v>
      </c>
      <c r="H333" s="14">
        <f t="shared" si="27"/>
        <v>194513.84</v>
      </c>
      <c r="I333" s="15"/>
      <c r="J333" s="15"/>
      <c r="K333" s="15">
        <f t="shared" si="33"/>
        <v>194513.84</v>
      </c>
    </row>
    <row r="334" spans="1:13" x14ac:dyDescent="0.2">
      <c r="A334" s="11" t="s">
        <v>884</v>
      </c>
      <c r="B334" s="11" t="s">
        <v>885</v>
      </c>
      <c r="C334" s="12" t="s">
        <v>886</v>
      </c>
      <c r="D334" s="11" t="s">
        <v>43</v>
      </c>
      <c r="E334" s="13" t="s">
        <v>887</v>
      </c>
      <c r="F334" s="13" t="s">
        <v>888</v>
      </c>
      <c r="G334" s="14">
        <v>350000</v>
      </c>
      <c r="H334" s="14">
        <f t="shared" si="27"/>
        <v>21157.78</v>
      </c>
      <c r="I334" s="15"/>
      <c r="J334" s="15"/>
      <c r="K334" s="15">
        <f t="shared" si="33"/>
        <v>21157.78</v>
      </c>
    </row>
    <row r="335" spans="1:13" x14ac:dyDescent="0.2">
      <c r="A335" s="11" t="s">
        <v>889</v>
      </c>
      <c r="B335" s="11" t="s">
        <v>890</v>
      </c>
      <c r="C335" s="12" t="s">
        <v>891</v>
      </c>
      <c r="D335" s="11" t="s">
        <v>43</v>
      </c>
      <c r="E335" s="13" t="s">
        <v>892</v>
      </c>
      <c r="F335" s="13" t="s">
        <v>893</v>
      </c>
      <c r="G335" s="14">
        <v>5941000</v>
      </c>
      <c r="H335" s="14">
        <f t="shared" si="27"/>
        <v>68190.797999999995</v>
      </c>
      <c r="I335" s="15"/>
      <c r="J335" s="15"/>
      <c r="K335" s="15">
        <f t="shared" si="33"/>
        <v>68190.797999999995</v>
      </c>
    </row>
    <row r="336" spans="1:13" ht="33.75" customHeight="1" x14ac:dyDescent="0.2">
      <c r="A336" s="11" t="s">
        <v>894</v>
      </c>
      <c r="B336" s="11" t="s">
        <v>895</v>
      </c>
      <c r="C336" s="12" t="s">
        <v>896</v>
      </c>
      <c r="D336" s="11" t="s">
        <v>60</v>
      </c>
      <c r="E336" s="13" t="s">
        <v>40</v>
      </c>
      <c r="F336" s="13" t="s">
        <v>897</v>
      </c>
      <c r="G336" s="14">
        <v>2000000</v>
      </c>
      <c r="H336" s="14">
        <f t="shared" ref="H336:H399" si="34">IF(ISNUMBER(G336),IF(F336="",E336*G336,F336*G336),0)</f>
        <v>1530400</v>
      </c>
      <c r="I336" s="15"/>
      <c r="J336" s="15"/>
      <c r="K336" s="15">
        <f t="shared" si="33"/>
        <v>1530400</v>
      </c>
    </row>
    <row r="337" spans="1:13" ht="33.75" customHeight="1" x14ac:dyDescent="0.2">
      <c r="A337" s="6" t="s">
        <v>898</v>
      </c>
      <c r="B337" s="6" t="s">
        <v>263</v>
      </c>
      <c r="C337" s="7" t="s">
        <v>264</v>
      </c>
      <c r="D337" s="6" t="s">
        <v>43</v>
      </c>
      <c r="E337" s="35" t="s">
        <v>899</v>
      </c>
      <c r="F337" s="35"/>
      <c r="G337" s="8">
        <v>0</v>
      </c>
      <c r="H337" s="8">
        <f t="shared" si="34"/>
        <v>0</v>
      </c>
      <c r="I337" s="9"/>
      <c r="J337" s="9"/>
      <c r="K337" s="9">
        <f t="shared" si="33"/>
        <v>0</v>
      </c>
      <c r="L337" s="10"/>
      <c r="M337" s="10"/>
    </row>
    <row r="338" spans="1:13" ht="22.5" customHeight="1" x14ac:dyDescent="0.2">
      <c r="A338" s="11" t="s">
        <v>900</v>
      </c>
      <c r="B338" s="11" t="s">
        <v>19</v>
      </c>
      <c r="C338" s="12" t="s">
        <v>20</v>
      </c>
      <c r="D338" s="11" t="s">
        <v>21</v>
      </c>
      <c r="E338" s="13" t="s">
        <v>267</v>
      </c>
      <c r="F338" s="13" t="s">
        <v>901</v>
      </c>
      <c r="G338" s="14">
        <v>15807.93</v>
      </c>
      <c r="H338" s="14">
        <f t="shared" si="34"/>
        <v>12710526.168629665</v>
      </c>
      <c r="I338" s="15">
        <f>H338</f>
        <v>12710526.168629665</v>
      </c>
      <c r="J338" s="15"/>
      <c r="K338" s="15"/>
    </row>
    <row r="339" spans="1:13" x14ac:dyDescent="0.2">
      <c r="A339" s="16" t="s">
        <v>902</v>
      </c>
      <c r="B339" s="16" t="s">
        <v>25</v>
      </c>
      <c r="C339" s="17" t="s">
        <v>26</v>
      </c>
      <c r="D339" s="16" t="s">
        <v>21</v>
      </c>
      <c r="E339" s="18" t="s">
        <v>270</v>
      </c>
      <c r="F339" s="18" t="s">
        <v>903</v>
      </c>
      <c r="G339" s="8">
        <v>0</v>
      </c>
      <c r="H339" s="8">
        <f t="shared" si="34"/>
        <v>0</v>
      </c>
      <c r="I339" s="9"/>
      <c r="J339" s="9">
        <f t="shared" ref="J339:J346" si="35">H339</f>
        <v>0</v>
      </c>
      <c r="K339" s="9"/>
      <c r="L339" s="10"/>
      <c r="M339" s="10"/>
    </row>
    <row r="340" spans="1:13" x14ac:dyDescent="0.2">
      <c r="A340" s="11" t="s">
        <v>904</v>
      </c>
      <c r="B340" s="11" t="s">
        <v>193</v>
      </c>
      <c r="C340" s="12" t="s">
        <v>194</v>
      </c>
      <c r="D340" s="11" t="s">
        <v>32</v>
      </c>
      <c r="E340" s="13" t="s">
        <v>206</v>
      </c>
      <c r="F340" s="13" t="s">
        <v>905</v>
      </c>
      <c r="G340" s="14">
        <v>54800</v>
      </c>
      <c r="H340" s="14">
        <f t="shared" si="34"/>
        <v>547429.57584000006</v>
      </c>
      <c r="I340" s="15"/>
      <c r="J340" s="15">
        <f t="shared" si="35"/>
        <v>547429.57584000006</v>
      </c>
      <c r="K340" s="15"/>
    </row>
    <row r="341" spans="1:13" ht="33.75" customHeight="1" x14ac:dyDescent="0.2">
      <c r="A341" s="11" t="s">
        <v>906</v>
      </c>
      <c r="B341" s="11" t="s">
        <v>158</v>
      </c>
      <c r="C341" s="12" t="s">
        <v>159</v>
      </c>
      <c r="D341" s="11" t="s">
        <v>32</v>
      </c>
      <c r="E341" s="13" t="s">
        <v>275</v>
      </c>
      <c r="F341" s="13" t="s">
        <v>907</v>
      </c>
      <c r="G341" s="14">
        <v>45270</v>
      </c>
      <c r="H341" s="14">
        <f t="shared" si="34"/>
        <v>64604.110787999998</v>
      </c>
      <c r="I341" s="15"/>
      <c r="J341" s="15">
        <f t="shared" si="35"/>
        <v>64604.110787999998</v>
      </c>
      <c r="K341" s="15"/>
    </row>
    <row r="342" spans="1:13" x14ac:dyDescent="0.2">
      <c r="A342" s="11" t="s">
        <v>908</v>
      </c>
      <c r="B342" s="11" t="s">
        <v>278</v>
      </c>
      <c r="C342" s="12" t="s">
        <v>279</v>
      </c>
      <c r="D342" s="11" t="s">
        <v>32</v>
      </c>
      <c r="E342" s="13" t="s">
        <v>280</v>
      </c>
      <c r="F342" s="13" t="s">
        <v>909</v>
      </c>
      <c r="G342" s="14">
        <v>637.55999999999995</v>
      </c>
      <c r="H342" s="14">
        <f t="shared" si="34"/>
        <v>779.87308291199997</v>
      </c>
      <c r="I342" s="15"/>
      <c r="J342" s="15">
        <f t="shared" si="35"/>
        <v>779.87308291199997</v>
      </c>
      <c r="K342" s="15"/>
    </row>
    <row r="343" spans="1:13" x14ac:dyDescent="0.2">
      <c r="A343" s="11" t="s">
        <v>910</v>
      </c>
      <c r="B343" s="11" t="s">
        <v>283</v>
      </c>
      <c r="C343" s="12" t="s">
        <v>284</v>
      </c>
      <c r="D343" s="11" t="s">
        <v>32</v>
      </c>
      <c r="E343" s="13" t="s">
        <v>285</v>
      </c>
      <c r="F343" s="13" t="s">
        <v>911</v>
      </c>
      <c r="G343" s="14">
        <v>650</v>
      </c>
      <c r="H343" s="14">
        <f t="shared" si="34"/>
        <v>9276.0486000000001</v>
      </c>
      <c r="I343" s="15"/>
      <c r="J343" s="15">
        <f t="shared" si="35"/>
        <v>9276.0486000000001</v>
      </c>
      <c r="K343" s="15"/>
    </row>
    <row r="344" spans="1:13" ht="22.5" customHeight="1" x14ac:dyDescent="0.2">
      <c r="A344" s="11" t="s">
        <v>912</v>
      </c>
      <c r="B344" s="11" t="s">
        <v>288</v>
      </c>
      <c r="C344" s="12" t="s">
        <v>289</v>
      </c>
      <c r="D344" s="11" t="s">
        <v>32</v>
      </c>
      <c r="E344" s="13" t="s">
        <v>165</v>
      </c>
      <c r="F344" s="13" t="s">
        <v>913</v>
      </c>
      <c r="G344" s="14">
        <v>25650</v>
      </c>
      <c r="H344" s="14">
        <f t="shared" si="34"/>
        <v>33990.092369999998</v>
      </c>
      <c r="I344" s="15"/>
      <c r="J344" s="15">
        <f t="shared" si="35"/>
        <v>33990.092369999998</v>
      </c>
      <c r="K344" s="15"/>
    </row>
    <row r="345" spans="1:13" x14ac:dyDescent="0.2">
      <c r="A345" s="11" t="s">
        <v>914</v>
      </c>
      <c r="B345" s="11" t="s">
        <v>292</v>
      </c>
      <c r="C345" s="12" t="s">
        <v>293</v>
      </c>
      <c r="D345" s="11" t="s">
        <v>32</v>
      </c>
      <c r="E345" s="13" t="s">
        <v>294</v>
      </c>
      <c r="F345" s="13" t="s">
        <v>915</v>
      </c>
      <c r="G345" s="14">
        <v>874.37</v>
      </c>
      <c r="H345" s="14">
        <f t="shared" si="34"/>
        <v>7665.0558333720001</v>
      </c>
      <c r="I345" s="15"/>
      <c r="J345" s="15">
        <f t="shared" si="35"/>
        <v>7665.0558333720001</v>
      </c>
      <c r="K345" s="15"/>
    </row>
    <row r="346" spans="1:13" x14ac:dyDescent="0.2">
      <c r="A346" s="11" t="s">
        <v>916</v>
      </c>
      <c r="B346" s="11" t="s">
        <v>297</v>
      </c>
      <c r="C346" s="12" t="s">
        <v>298</v>
      </c>
      <c r="D346" s="11" t="s">
        <v>32</v>
      </c>
      <c r="E346" s="13" t="s">
        <v>299</v>
      </c>
      <c r="F346" s="13" t="s">
        <v>917</v>
      </c>
      <c r="G346" s="14">
        <v>645</v>
      </c>
      <c r="H346" s="14">
        <f t="shared" si="34"/>
        <v>13807.041569999999</v>
      </c>
      <c r="I346" s="15"/>
      <c r="J346" s="15">
        <f t="shared" si="35"/>
        <v>13807.041569999999</v>
      </c>
      <c r="K346" s="15"/>
    </row>
    <row r="347" spans="1:13" x14ac:dyDescent="0.2">
      <c r="A347" s="11" t="s">
        <v>918</v>
      </c>
      <c r="B347" s="11" t="s">
        <v>302</v>
      </c>
      <c r="C347" s="12" t="s">
        <v>303</v>
      </c>
      <c r="D347" s="11" t="s">
        <v>60</v>
      </c>
      <c r="E347" s="13" t="s">
        <v>304</v>
      </c>
      <c r="F347" s="13" t="s">
        <v>919</v>
      </c>
      <c r="G347" s="14">
        <v>4500</v>
      </c>
      <c r="H347" s="14">
        <f t="shared" si="34"/>
        <v>119263.482</v>
      </c>
      <c r="I347" s="15"/>
      <c r="J347" s="15"/>
      <c r="K347" s="15">
        <f t="shared" ref="K347:K358" si="36">H347</f>
        <v>119263.482</v>
      </c>
    </row>
    <row r="348" spans="1:13" x14ac:dyDescent="0.2">
      <c r="A348" s="11" t="s">
        <v>920</v>
      </c>
      <c r="B348" s="11" t="s">
        <v>307</v>
      </c>
      <c r="C348" s="12" t="s">
        <v>308</v>
      </c>
      <c r="D348" s="11" t="s">
        <v>43</v>
      </c>
      <c r="E348" s="13" t="s">
        <v>309</v>
      </c>
      <c r="F348" s="13" t="s">
        <v>921</v>
      </c>
      <c r="G348" s="14">
        <v>5941000</v>
      </c>
      <c r="H348" s="14">
        <f t="shared" si="34"/>
        <v>423915.42101999995</v>
      </c>
      <c r="I348" s="15"/>
      <c r="J348" s="15"/>
      <c r="K348" s="15">
        <f t="shared" si="36"/>
        <v>423915.42101999995</v>
      </c>
    </row>
    <row r="349" spans="1:13" x14ac:dyDescent="0.2">
      <c r="A349" s="11" t="s">
        <v>922</v>
      </c>
      <c r="B349" s="11" t="s">
        <v>312</v>
      </c>
      <c r="C349" s="12" t="s">
        <v>313</v>
      </c>
      <c r="D349" s="11" t="s">
        <v>314</v>
      </c>
      <c r="E349" s="13" t="s">
        <v>315</v>
      </c>
      <c r="F349" s="13" t="s">
        <v>923</v>
      </c>
      <c r="G349" s="14">
        <v>6500</v>
      </c>
      <c r="H349" s="14">
        <f t="shared" si="34"/>
        <v>33128.745000000003</v>
      </c>
      <c r="I349" s="15"/>
      <c r="J349" s="15"/>
      <c r="K349" s="15">
        <f t="shared" si="36"/>
        <v>33128.745000000003</v>
      </c>
    </row>
    <row r="350" spans="1:13" x14ac:dyDescent="0.2">
      <c r="A350" s="11" t="s">
        <v>924</v>
      </c>
      <c r="B350" s="11" t="s">
        <v>318</v>
      </c>
      <c r="C350" s="12" t="s">
        <v>319</v>
      </c>
      <c r="D350" s="11" t="s">
        <v>320</v>
      </c>
      <c r="E350" s="13" t="s">
        <v>321</v>
      </c>
      <c r="F350" s="13" t="s">
        <v>925</v>
      </c>
      <c r="G350" s="14">
        <v>3200</v>
      </c>
      <c r="H350" s="14">
        <f t="shared" si="34"/>
        <v>58714.329599999997</v>
      </c>
      <c r="I350" s="15"/>
      <c r="J350" s="15"/>
      <c r="K350" s="15">
        <f t="shared" si="36"/>
        <v>58714.329599999997</v>
      </c>
    </row>
    <row r="351" spans="1:13" ht="33.75" customHeight="1" x14ac:dyDescent="0.2">
      <c r="A351" s="19" t="s">
        <v>926</v>
      </c>
      <c r="B351" s="19" t="s">
        <v>496</v>
      </c>
      <c r="C351" s="20" t="s">
        <v>497</v>
      </c>
      <c r="D351" s="19" t="s">
        <v>43</v>
      </c>
      <c r="E351" s="36" t="s">
        <v>927</v>
      </c>
      <c r="F351" s="36"/>
      <c r="G351" s="14">
        <v>4600000</v>
      </c>
      <c r="H351" s="14">
        <f t="shared" si="34"/>
        <v>9262652</v>
      </c>
      <c r="I351" s="15"/>
      <c r="J351" s="15"/>
      <c r="K351" s="15">
        <f t="shared" si="36"/>
        <v>9262652</v>
      </c>
    </row>
    <row r="352" spans="1:13" ht="33.75" customHeight="1" x14ac:dyDescent="0.2">
      <c r="A352" s="19" t="s">
        <v>928</v>
      </c>
      <c r="B352" s="19" t="s">
        <v>504</v>
      </c>
      <c r="C352" s="20" t="s">
        <v>929</v>
      </c>
      <c r="D352" s="19" t="s">
        <v>43</v>
      </c>
      <c r="E352" s="36" t="s">
        <v>930</v>
      </c>
      <c r="F352" s="36"/>
      <c r="G352" s="14" t="s">
        <v>502</v>
      </c>
      <c r="H352" s="14">
        <f t="shared" si="34"/>
        <v>0</v>
      </c>
      <c r="I352" s="15"/>
      <c r="J352" s="15"/>
      <c r="K352" s="15">
        <f t="shared" si="36"/>
        <v>0</v>
      </c>
    </row>
    <row r="353" spans="1:13" ht="33.75" customHeight="1" x14ac:dyDescent="0.2">
      <c r="A353" s="19" t="s">
        <v>931</v>
      </c>
      <c r="B353" s="19" t="s">
        <v>595</v>
      </c>
      <c r="C353" s="20" t="s">
        <v>932</v>
      </c>
      <c r="D353" s="19" t="s">
        <v>43</v>
      </c>
      <c r="E353" s="36" t="s">
        <v>933</v>
      </c>
      <c r="F353" s="36"/>
      <c r="G353" s="14" t="s">
        <v>502</v>
      </c>
      <c r="H353" s="14">
        <f t="shared" si="34"/>
        <v>0</v>
      </c>
      <c r="I353" s="15"/>
      <c r="J353" s="15"/>
      <c r="K353" s="15">
        <f t="shared" si="36"/>
        <v>0</v>
      </c>
    </row>
    <row r="354" spans="1:13" ht="22.5" customHeight="1" x14ac:dyDescent="0.2">
      <c r="A354" s="19" t="s">
        <v>934</v>
      </c>
      <c r="B354" s="19" t="s">
        <v>774</v>
      </c>
      <c r="C354" s="20" t="s">
        <v>775</v>
      </c>
      <c r="D354" s="19" t="s">
        <v>43</v>
      </c>
      <c r="E354" s="36" t="s">
        <v>935</v>
      </c>
      <c r="F354" s="36"/>
      <c r="G354" s="14">
        <v>4600000</v>
      </c>
      <c r="H354" s="14">
        <f t="shared" si="34"/>
        <v>19745270</v>
      </c>
      <c r="I354" s="15"/>
      <c r="J354" s="15"/>
      <c r="K354" s="15">
        <f t="shared" si="36"/>
        <v>19745270</v>
      </c>
    </row>
    <row r="355" spans="1:13" x14ac:dyDescent="0.2">
      <c r="A355" s="19" t="s">
        <v>936</v>
      </c>
      <c r="B355" s="19" t="s">
        <v>853</v>
      </c>
      <c r="C355" s="20" t="s">
        <v>854</v>
      </c>
      <c r="D355" s="19" t="s">
        <v>43</v>
      </c>
      <c r="E355" s="36" t="s">
        <v>937</v>
      </c>
      <c r="F355" s="36"/>
      <c r="G355" s="14">
        <v>6040000</v>
      </c>
      <c r="H355" s="14">
        <f t="shared" si="34"/>
        <v>752704.79999999993</v>
      </c>
      <c r="I355" s="15"/>
      <c r="J355" s="15"/>
      <c r="K355" s="15">
        <f t="shared" si="36"/>
        <v>752704.79999999993</v>
      </c>
    </row>
    <row r="356" spans="1:13" ht="12.75" customHeight="1" x14ac:dyDescent="0.2">
      <c r="A356" s="37"/>
      <c r="B356" s="37"/>
      <c r="C356" s="37"/>
      <c r="D356" s="37"/>
      <c r="E356" s="37"/>
      <c r="F356" s="37"/>
      <c r="G356" s="14"/>
      <c r="H356" s="14">
        <f t="shared" si="34"/>
        <v>0</v>
      </c>
      <c r="I356" s="15"/>
      <c r="J356" s="15"/>
      <c r="K356" s="15">
        <f t="shared" si="36"/>
        <v>0</v>
      </c>
    </row>
    <row r="357" spans="1:13" ht="12.75" customHeight="1" x14ac:dyDescent="0.2">
      <c r="A357" s="37" t="s">
        <v>938</v>
      </c>
      <c r="B357" s="37"/>
      <c r="C357" s="37"/>
      <c r="D357" s="37"/>
      <c r="E357" s="37"/>
      <c r="F357" s="37"/>
      <c r="G357" s="14"/>
      <c r="H357" s="14">
        <f t="shared" si="34"/>
        <v>0</v>
      </c>
      <c r="I357" s="15"/>
      <c r="J357" s="15"/>
      <c r="K357" s="15">
        <f t="shared" si="36"/>
        <v>0</v>
      </c>
    </row>
    <row r="358" spans="1:13" ht="45" customHeight="1" x14ac:dyDescent="0.2">
      <c r="A358" s="6" t="s">
        <v>939</v>
      </c>
      <c r="B358" s="6" t="s">
        <v>940</v>
      </c>
      <c r="C358" s="7" t="s">
        <v>941</v>
      </c>
      <c r="D358" s="6" t="s">
        <v>118</v>
      </c>
      <c r="E358" s="35" t="s">
        <v>309</v>
      </c>
      <c r="F358" s="35"/>
      <c r="G358" s="8">
        <v>0</v>
      </c>
      <c r="H358" s="8">
        <f t="shared" si="34"/>
        <v>0</v>
      </c>
      <c r="I358" s="9"/>
      <c r="J358" s="9"/>
      <c r="K358" s="9">
        <f t="shared" si="36"/>
        <v>0</v>
      </c>
      <c r="L358" s="10"/>
      <c r="M358" s="10"/>
    </row>
    <row r="359" spans="1:13" x14ac:dyDescent="0.2">
      <c r="A359" s="11" t="s">
        <v>942</v>
      </c>
      <c r="B359" s="11" t="s">
        <v>19</v>
      </c>
      <c r="C359" s="12" t="s">
        <v>20</v>
      </c>
      <c r="D359" s="11" t="s">
        <v>21</v>
      </c>
      <c r="E359" s="13" t="s">
        <v>943</v>
      </c>
      <c r="F359" s="13" t="s">
        <v>944</v>
      </c>
      <c r="G359" s="14">
        <v>15807.93</v>
      </c>
      <c r="H359" s="14">
        <f t="shared" si="34"/>
        <v>159299.672196</v>
      </c>
      <c r="I359" s="15">
        <f>H359</f>
        <v>159299.672196</v>
      </c>
      <c r="J359" s="15"/>
      <c r="K359" s="15"/>
    </row>
    <row r="360" spans="1:13" x14ac:dyDescent="0.2">
      <c r="A360" s="16" t="s">
        <v>945</v>
      </c>
      <c r="B360" s="16" t="s">
        <v>25</v>
      </c>
      <c r="C360" s="17" t="s">
        <v>26</v>
      </c>
      <c r="D360" s="16" t="s">
        <v>21</v>
      </c>
      <c r="E360" s="18" t="s">
        <v>946</v>
      </c>
      <c r="F360" s="18" t="s">
        <v>947</v>
      </c>
      <c r="G360" s="8">
        <v>0</v>
      </c>
      <c r="H360" s="8">
        <f t="shared" si="34"/>
        <v>0</v>
      </c>
      <c r="I360" s="9"/>
      <c r="J360" s="9">
        <f t="shared" ref="J360:J367" si="37">H360</f>
        <v>0</v>
      </c>
      <c r="K360" s="9"/>
      <c r="L360" s="10"/>
      <c r="M360" s="10"/>
    </row>
    <row r="361" spans="1:13" x14ac:dyDescent="0.2">
      <c r="A361" s="11" t="s">
        <v>948</v>
      </c>
      <c r="B361" s="11" t="s">
        <v>193</v>
      </c>
      <c r="C361" s="12" t="s">
        <v>194</v>
      </c>
      <c r="D361" s="11" t="s">
        <v>32</v>
      </c>
      <c r="E361" s="13" t="s">
        <v>195</v>
      </c>
      <c r="F361" s="13" t="s">
        <v>949</v>
      </c>
      <c r="G361" s="14">
        <v>54800</v>
      </c>
      <c r="H361" s="14">
        <f t="shared" si="34"/>
        <v>103.572</v>
      </c>
      <c r="I361" s="15"/>
      <c r="J361" s="15">
        <f t="shared" si="37"/>
        <v>103.572</v>
      </c>
      <c r="K361" s="15"/>
    </row>
    <row r="362" spans="1:13" x14ac:dyDescent="0.2">
      <c r="A362" s="11" t="s">
        <v>950</v>
      </c>
      <c r="B362" s="11" t="s">
        <v>153</v>
      </c>
      <c r="C362" s="12" t="s">
        <v>154</v>
      </c>
      <c r="D362" s="11" t="s">
        <v>32</v>
      </c>
      <c r="E362" s="13" t="s">
        <v>951</v>
      </c>
      <c r="F362" s="13" t="s">
        <v>952</v>
      </c>
      <c r="G362" s="14">
        <v>580</v>
      </c>
      <c r="H362" s="14">
        <f t="shared" si="34"/>
        <v>289.88400000000001</v>
      </c>
      <c r="I362" s="15"/>
      <c r="J362" s="15">
        <f t="shared" si="37"/>
        <v>289.88400000000001</v>
      </c>
      <c r="K362" s="15"/>
    </row>
    <row r="363" spans="1:13" ht="33.75" customHeight="1" x14ac:dyDescent="0.2">
      <c r="A363" s="11" t="s">
        <v>953</v>
      </c>
      <c r="B363" s="11" t="s">
        <v>158</v>
      </c>
      <c r="C363" s="12" t="s">
        <v>159</v>
      </c>
      <c r="D363" s="11" t="s">
        <v>32</v>
      </c>
      <c r="E363" s="13" t="s">
        <v>954</v>
      </c>
      <c r="F363" s="13" t="s">
        <v>955</v>
      </c>
      <c r="G363" s="14">
        <v>45270</v>
      </c>
      <c r="H363" s="14">
        <f t="shared" si="34"/>
        <v>23795.270100000002</v>
      </c>
      <c r="I363" s="15"/>
      <c r="J363" s="15">
        <f t="shared" si="37"/>
        <v>23795.270100000002</v>
      </c>
      <c r="K363" s="15"/>
    </row>
    <row r="364" spans="1:13" ht="33.75" customHeight="1" x14ac:dyDescent="0.2">
      <c r="A364" s="11" t="s">
        <v>956</v>
      </c>
      <c r="B364" s="11" t="s">
        <v>204</v>
      </c>
      <c r="C364" s="12" t="s">
        <v>205</v>
      </c>
      <c r="D364" s="11" t="s">
        <v>32</v>
      </c>
      <c r="E364" s="13" t="s">
        <v>285</v>
      </c>
      <c r="F364" s="13" t="s">
        <v>957</v>
      </c>
      <c r="G364" s="14">
        <v>102000</v>
      </c>
      <c r="H364" s="14">
        <f t="shared" si="34"/>
        <v>999.6</v>
      </c>
      <c r="I364" s="15"/>
      <c r="J364" s="15">
        <f t="shared" si="37"/>
        <v>999.6</v>
      </c>
      <c r="K364" s="15"/>
    </row>
    <row r="365" spans="1:13" x14ac:dyDescent="0.2">
      <c r="A365" s="11" t="s">
        <v>958</v>
      </c>
      <c r="B365" s="11" t="s">
        <v>209</v>
      </c>
      <c r="C365" s="12" t="s">
        <v>210</v>
      </c>
      <c r="D365" s="11" t="s">
        <v>32</v>
      </c>
      <c r="E365" s="13" t="s">
        <v>959</v>
      </c>
      <c r="F365" s="13" t="s">
        <v>960</v>
      </c>
      <c r="G365" s="14">
        <v>873</v>
      </c>
      <c r="H365" s="14">
        <f t="shared" si="34"/>
        <v>29.699460000000002</v>
      </c>
      <c r="I365" s="15"/>
      <c r="J365" s="15">
        <f t="shared" si="37"/>
        <v>29.699460000000002</v>
      </c>
      <c r="K365" s="15"/>
    </row>
    <row r="366" spans="1:13" ht="22.5" customHeight="1" x14ac:dyDescent="0.2">
      <c r="A366" s="11" t="s">
        <v>961</v>
      </c>
      <c r="B366" s="11" t="s">
        <v>214</v>
      </c>
      <c r="C366" s="12" t="s">
        <v>215</v>
      </c>
      <c r="D366" s="11" t="s">
        <v>32</v>
      </c>
      <c r="E366" s="13" t="s">
        <v>962</v>
      </c>
      <c r="F366" s="13" t="s">
        <v>963</v>
      </c>
      <c r="G366" s="14">
        <v>3200</v>
      </c>
      <c r="H366" s="14">
        <f t="shared" si="34"/>
        <v>5784.3519999999999</v>
      </c>
      <c r="I366" s="15"/>
      <c r="J366" s="15">
        <f t="shared" si="37"/>
        <v>5784.3519999999999</v>
      </c>
      <c r="K366" s="15"/>
    </row>
    <row r="367" spans="1:13" ht="22.5" customHeight="1" x14ac:dyDescent="0.2">
      <c r="A367" s="11" t="s">
        <v>964</v>
      </c>
      <c r="B367" s="11" t="s">
        <v>163</v>
      </c>
      <c r="C367" s="12" t="s">
        <v>164</v>
      </c>
      <c r="D367" s="11" t="s">
        <v>32</v>
      </c>
      <c r="E367" s="13" t="s">
        <v>965</v>
      </c>
      <c r="F367" s="13" t="s">
        <v>966</v>
      </c>
      <c r="G367" s="14">
        <v>52621.06</v>
      </c>
      <c r="H367" s="14">
        <f t="shared" si="34"/>
        <v>769.84610780000003</v>
      </c>
      <c r="I367" s="15"/>
      <c r="J367" s="15">
        <f t="shared" si="37"/>
        <v>769.84610780000003</v>
      </c>
      <c r="K367" s="15"/>
    </row>
    <row r="368" spans="1:13" x14ac:dyDescent="0.2">
      <c r="A368" s="11" t="s">
        <v>967</v>
      </c>
      <c r="B368" s="11" t="s">
        <v>168</v>
      </c>
      <c r="C368" s="12" t="s">
        <v>105</v>
      </c>
      <c r="D368" s="11" t="s">
        <v>60</v>
      </c>
      <c r="E368" s="13" t="s">
        <v>968</v>
      </c>
      <c r="F368" s="13" t="s">
        <v>969</v>
      </c>
      <c r="G368" s="14">
        <v>0</v>
      </c>
      <c r="H368" s="14">
        <f t="shared" si="34"/>
        <v>0</v>
      </c>
      <c r="I368" s="15"/>
      <c r="J368" s="15"/>
      <c r="K368" s="15">
        <f t="shared" ref="K368:K380" si="38">H368</f>
        <v>0</v>
      </c>
    </row>
    <row r="369" spans="1:13" x14ac:dyDescent="0.2">
      <c r="A369" s="11" t="s">
        <v>970</v>
      </c>
      <c r="B369" s="11" t="s">
        <v>718</v>
      </c>
      <c r="C369" s="12" t="s">
        <v>719</v>
      </c>
      <c r="D369" s="11" t="s">
        <v>60</v>
      </c>
      <c r="E369" s="13" t="s">
        <v>227</v>
      </c>
      <c r="F369" s="13" t="s">
        <v>971</v>
      </c>
      <c r="G369" s="14">
        <v>490000</v>
      </c>
      <c r="H369" s="14">
        <f t="shared" si="34"/>
        <v>348145</v>
      </c>
      <c r="I369" s="15"/>
      <c r="J369" s="15"/>
      <c r="K369" s="15">
        <f t="shared" si="38"/>
        <v>348145</v>
      </c>
    </row>
    <row r="370" spans="1:13" x14ac:dyDescent="0.2">
      <c r="A370" s="11" t="s">
        <v>972</v>
      </c>
      <c r="B370" s="11" t="s">
        <v>230</v>
      </c>
      <c r="C370" s="12" t="s">
        <v>231</v>
      </c>
      <c r="D370" s="11" t="s">
        <v>43</v>
      </c>
      <c r="E370" s="13" t="s">
        <v>552</v>
      </c>
      <c r="F370" s="13" t="s">
        <v>973</v>
      </c>
      <c r="G370" s="14">
        <v>8200000</v>
      </c>
      <c r="H370" s="14">
        <f t="shared" si="34"/>
        <v>2583</v>
      </c>
      <c r="I370" s="15"/>
      <c r="J370" s="15"/>
      <c r="K370" s="15">
        <f t="shared" si="38"/>
        <v>2583</v>
      </c>
    </row>
    <row r="371" spans="1:13" ht="22.5" customHeight="1" x14ac:dyDescent="0.2">
      <c r="A371" s="11" t="s">
        <v>974</v>
      </c>
      <c r="B371" s="11" t="s">
        <v>235</v>
      </c>
      <c r="C371" s="12" t="s">
        <v>236</v>
      </c>
      <c r="D371" s="11" t="s">
        <v>43</v>
      </c>
      <c r="E371" s="13" t="s">
        <v>975</v>
      </c>
      <c r="F371" s="13" t="s">
        <v>976</v>
      </c>
      <c r="G371" s="14">
        <v>650000</v>
      </c>
      <c r="H371" s="14">
        <f t="shared" si="34"/>
        <v>259.35000000000002</v>
      </c>
      <c r="I371" s="15"/>
      <c r="J371" s="15"/>
      <c r="K371" s="15">
        <f t="shared" si="38"/>
        <v>259.35000000000002</v>
      </c>
    </row>
    <row r="372" spans="1:13" ht="22.5" customHeight="1" x14ac:dyDescent="0.2">
      <c r="A372" s="11" t="s">
        <v>977</v>
      </c>
      <c r="B372" s="11" t="s">
        <v>240</v>
      </c>
      <c r="C372" s="12" t="s">
        <v>241</v>
      </c>
      <c r="D372" s="11" t="s">
        <v>43</v>
      </c>
      <c r="E372" s="13" t="s">
        <v>978</v>
      </c>
      <c r="F372" s="13" t="s">
        <v>979</v>
      </c>
      <c r="G372" s="14">
        <v>7200000</v>
      </c>
      <c r="H372" s="14">
        <f t="shared" si="34"/>
        <v>604.79999999999995</v>
      </c>
      <c r="I372" s="15"/>
      <c r="J372" s="15"/>
      <c r="K372" s="15">
        <f t="shared" si="38"/>
        <v>604.79999999999995</v>
      </c>
    </row>
    <row r="373" spans="1:13" x14ac:dyDescent="0.2">
      <c r="A373" s="11" t="s">
        <v>980</v>
      </c>
      <c r="B373" s="11" t="s">
        <v>245</v>
      </c>
      <c r="C373" s="12" t="s">
        <v>246</v>
      </c>
      <c r="D373" s="11" t="s">
        <v>43</v>
      </c>
      <c r="E373" s="13" t="s">
        <v>981</v>
      </c>
      <c r="F373" s="13" t="s">
        <v>982</v>
      </c>
      <c r="G373" s="14">
        <v>10300000</v>
      </c>
      <c r="H373" s="14">
        <f t="shared" si="34"/>
        <v>22351</v>
      </c>
      <c r="I373" s="15"/>
      <c r="J373" s="15"/>
      <c r="K373" s="15">
        <f t="shared" si="38"/>
        <v>22351</v>
      </c>
    </row>
    <row r="374" spans="1:13" ht="33.75" customHeight="1" x14ac:dyDescent="0.2">
      <c r="A374" s="11" t="s">
        <v>983</v>
      </c>
      <c r="B374" s="11" t="s">
        <v>984</v>
      </c>
      <c r="C374" s="12" t="s">
        <v>985</v>
      </c>
      <c r="D374" s="11" t="s">
        <v>60</v>
      </c>
      <c r="E374" s="13" t="s">
        <v>165</v>
      </c>
      <c r="F374" s="13" t="s">
        <v>986</v>
      </c>
      <c r="G374" s="14">
        <v>2000000</v>
      </c>
      <c r="H374" s="14">
        <f t="shared" si="34"/>
        <v>1820</v>
      </c>
      <c r="I374" s="15"/>
      <c r="J374" s="15"/>
      <c r="K374" s="15">
        <f t="shared" si="38"/>
        <v>1820</v>
      </c>
    </row>
    <row r="375" spans="1:13" ht="33.75" customHeight="1" x14ac:dyDescent="0.2">
      <c r="A375" s="11" t="s">
        <v>987</v>
      </c>
      <c r="B375" s="11" t="s">
        <v>556</v>
      </c>
      <c r="C375" s="12" t="s">
        <v>557</v>
      </c>
      <c r="D375" s="11" t="s">
        <v>60</v>
      </c>
      <c r="E375" s="13" t="s">
        <v>988</v>
      </c>
      <c r="F375" s="13" t="s">
        <v>989</v>
      </c>
      <c r="G375" s="14">
        <v>2000000</v>
      </c>
      <c r="H375" s="14">
        <f t="shared" si="34"/>
        <v>90440</v>
      </c>
      <c r="I375" s="15"/>
      <c r="J375" s="15"/>
      <c r="K375" s="15">
        <f t="shared" si="38"/>
        <v>90440</v>
      </c>
    </row>
    <row r="376" spans="1:13" ht="33.75" customHeight="1" x14ac:dyDescent="0.2">
      <c r="A376" s="11" t="s">
        <v>990</v>
      </c>
      <c r="B376" s="11" t="s">
        <v>991</v>
      </c>
      <c r="C376" s="12" t="s">
        <v>992</v>
      </c>
      <c r="D376" s="11" t="s">
        <v>60</v>
      </c>
      <c r="E376" s="13" t="s">
        <v>683</v>
      </c>
      <c r="F376" s="13" t="s">
        <v>993</v>
      </c>
      <c r="G376" s="14">
        <v>2000000</v>
      </c>
      <c r="H376" s="14">
        <f t="shared" si="34"/>
        <v>14280</v>
      </c>
      <c r="I376" s="15"/>
      <c r="J376" s="15"/>
      <c r="K376" s="15">
        <f t="shared" si="38"/>
        <v>14280</v>
      </c>
    </row>
    <row r="377" spans="1:13" ht="33.75" customHeight="1" x14ac:dyDescent="0.2">
      <c r="A377" s="11" t="s">
        <v>994</v>
      </c>
      <c r="B377" s="11" t="s">
        <v>995</v>
      </c>
      <c r="C377" s="12" t="s">
        <v>996</v>
      </c>
      <c r="D377" s="11" t="s">
        <v>60</v>
      </c>
      <c r="E377" s="13" t="s">
        <v>275</v>
      </c>
      <c r="F377" s="13" t="s">
        <v>997</v>
      </c>
      <c r="G377" s="14">
        <v>2000000</v>
      </c>
      <c r="H377" s="14">
        <f t="shared" si="34"/>
        <v>1960</v>
      </c>
      <c r="I377" s="15"/>
      <c r="J377" s="15"/>
      <c r="K377" s="15">
        <f t="shared" si="38"/>
        <v>1960</v>
      </c>
    </row>
    <row r="378" spans="1:13" ht="33.75" customHeight="1" x14ac:dyDescent="0.2">
      <c r="A378" s="11" t="s">
        <v>998</v>
      </c>
      <c r="B378" s="11" t="s">
        <v>253</v>
      </c>
      <c r="C378" s="12" t="s">
        <v>254</v>
      </c>
      <c r="D378" s="11" t="s">
        <v>60</v>
      </c>
      <c r="E378" s="13" t="s">
        <v>40</v>
      </c>
      <c r="F378" s="13" t="s">
        <v>999</v>
      </c>
      <c r="G378" s="14">
        <v>2000000</v>
      </c>
      <c r="H378" s="14">
        <f t="shared" si="34"/>
        <v>28000</v>
      </c>
      <c r="I378" s="15"/>
      <c r="J378" s="15"/>
      <c r="K378" s="15">
        <f t="shared" si="38"/>
        <v>28000</v>
      </c>
    </row>
    <row r="379" spans="1:13" x14ac:dyDescent="0.2">
      <c r="A379" s="11" t="s">
        <v>1000</v>
      </c>
      <c r="B379" s="11" t="s">
        <v>563</v>
      </c>
      <c r="C379" s="12" t="s">
        <v>564</v>
      </c>
      <c r="D379" s="11" t="s">
        <v>179</v>
      </c>
      <c r="E379" s="13" t="s">
        <v>1001</v>
      </c>
      <c r="F379" s="13" t="s">
        <v>1002</v>
      </c>
      <c r="G379" s="14">
        <v>25000</v>
      </c>
      <c r="H379" s="14">
        <f t="shared" si="34"/>
        <v>24675</v>
      </c>
      <c r="I379" s="15"/>
      <c r="J379" s="15"/>
      <c r="K379" s="15">
        <f t="shared" si="38"/>
        <v>24675</v>
      </c>
    </row>
    <row r="380" spans="1:13" ht="33.75" customHeight="1" x14ac:dyDescent="0.2">
      <c r="A380" s="6" t="s">
        <v>1003</v>
      </c>
      <c r="B380" s="6" t="s">
        <v>263</v>
      </c>
      <c r="C380" s="7" t="s">
        <v>264</v>
      </c>
      <c r="D380" s="6" t="s">
        <v>43</v>
      </c>
      <c r="E380" s="35" t="s">
        <v>1004</v>
      </c>
      <c r="F380" s="35"/>
      <c r="G380" s="8">
        <v>0</v>
      </c>
      <c r="H380" s="8">
        <f t="shared" si="34"/>
        <v>0</v>
      </c>
      <c r="I380" s="9"/>
      <c r="J380" s="9"/>
      <c r="K380" s="9">
        <f t="shared" si="38"/>
        <v>0</v>
      </c>
      <c r="L380" s="10"/>
      <c r="M380" s="10"/>
    </row>
    <row r="381" spans="1:13" x14ac:dyDescent="0.2">
      <c r="A381" s="11" t="s">
        <v>1005</v>
      </c>
      <c r="B381" s="11" t="s">
        <v>19</v>
      </c>
      <c r="C381" s="12" t="s">
        <v>20</v>
      </c>
      <c r="D381" s="11" t="s">
        <v>21</v>
      </c>
      <c r="E381" s="13" t="s">
        <v>267</v>
      </c>
      <c r="F381" s="13" t="s">
        <v>1006</v>
      </c>
      <c r="G381" s="14">
        <v>15807.93</v>
      </c>
      <c r="H381" s="14">
        <f t="shared" si="34"/>
        <v>612367.08648624003</v>
      </c>
      <c r="I381" s="15">
        <f>H381</f>
        <v>612367.08648624003</v>
      </c>
      <c r="J381" s="15"/>
      <c r="K381" s="15"/>
    </row>
    <row r="382" spans="1:13" x14ac:dyDescent="0.2">
      <c r="A382" s="16" t="s">
        <v>1007</v>
      </c>
      <c r="B382" s="16" t="s">
        <v>25</v>
      </c>
      <c r="C382" s="17" t="s">
        <v>26</v>
      </c>
      <c r="D382" s="16" t="s">
        <v>21</v>
      </c>
      <c r="E382" s="18" t="s">
        <v>270</v>
      </c>
      <c r="F382" s="18" t="s">
        <v>1008</v>
      </c>
      <c r="G382" s="8">
        <v>0</v>
      </c>
      <c r="H382" s="8">
        <f t="shared" si="34"/>
        <v>0</v>
      </c>
      <c r="I382" s="9"/>
      <c r="J382" s="9">
        <f t="shared" ref="J382:J389" si="39">H382</f>
        <v>0</v>
      </c>
      <c r="K382" s="9"/>
      <c r="L382" s="10"/>
      <c r="M382" s="10"/>
    </row>
    <row r="383" spans="1:13" x14ac:dyDescent="0.2">
      <c r="A383" s="11" t="s">
        <v>1009</v>
      </c>
      <c r="B383" s="11" t="s">
        <v>193</v>
      </c>
      <c r="C383" s="12" t="s">
        <v>194</v>
      </c>
      <c r="D383" s="11" t="s">
        <v>32</v>
      </c>
      <c r="E383" s="13" t="s">
        <v>206</v>
      </c>
      <c r="F383" s="13" t="s">
        <v>1010</v>
      </c>
      <c r="G383" s="14">
        <v>54800</v>
      </c>
      <c r="H383" s="14">
        <f t="shared" si="34"/>
        <v>26374.0344</v>
      </c>
      <c r="I383" s="15"/>
      <c r="J383" s="15">
        <f t="shared" si="39"/>
        <v>26374.0344</v>
      </c>
      <c r="K383" s="15"/>
    </row>
    <row r="384" spans="1:13" ht="33.75" customHeight="1" x14ac:dyDescent="0.2">
      <c r="A384" s="11" t="s">
        <v>1011</v>
      </c>
      <c r="B384" s="11" t="s">
        <v>158</v>
      </c>
      <c r="C384" s="12" t="s">
        <v>159</v>
      </c>
      <c r="D384" s="11" t="s">
        <v>32</v>
      </c>
      <c r="E384" s="13" t="s">
        <v>275</v>
      </c>
      <c r="F384" s="13" t="s">
        <v>1012</v>
      </c>
      <c r="G384" s="14">
        <v>45270</v>
      </c>
      <c r="H384" s="14">
        <f t="shared" si="34"/>
        <v>3112.4935799999998</v>
      </c>
      <c r="I384" s="15"/>
      <c r="J384" s="15">
        <f t="shared" si="39"/>
        <v>3112.4935799999998</v>
      </c>
      <c r="K384" s="15"/>
    </row>
    <row r="385" spans="1:13" x14ac:dyDescent="0.2">
      <c r="A385" s="11" t="s">
        <v>1013</v>
      </c>
      <c r="B385" s="11" t="s">
        <v>278</v>
      </c>
      <c r="C385" s="12" t="s">
        <v>279</v>
      </c>
      <c r="D385" s="11" t="s">
        <v>32</v>
      </c>
      <c r="E385" s="13" t="s">
        <v>280</v>
      </c>
      <c r="F385" s="13" t="s">
        <v>1014</v>
      </c>
      <c r="G385" s="14">
        <v>637.55999999999995</v>
      </c>
      <c r="H385" s="14">
        <f t="shared" si="34"/>
        <v>37.572685919999998</v>
      </c>
      <c r="I385" s="15"/>
      <c r="J385" s="15">
        <f t="shared" si="39"/>
        <v>37.572685919999998</v>
      </c>
      <c r="K385" s="15"/>
    </row>
    <row r="386" spans="1:13" x14ac:dyDescent="0.2">
      <c r="A386" s="11" t="s">
        <v>1015</v>
      </c>
      <c r="B386" s="11" t="s">
        <v>283</v>
      </c>
      <c r="C386" s="12" t="s">
        <v>284</v>
      </c>
      <c r="D386" s="11" t="s">
        <v>32</v>
      </c>
      <c r="E386" s="13" t="s">
        <v>285</v>
      </c>
      <c r="F386" s="13" t="s">
        <v>1016</v>
      </c>
      <c r="G386" s="14">
        <v>650</v>
      </c>
      <c r="H386" s="14">
        <f t="shared" si="34"/>
        <v>446.90100000000001</v>
      </c>
      <c r="I386" s="15"/>
      <c r="J386" s="15">
        <f t="shared" si="39"/>
        <v>446.90100000000001</v>
      </c>
      <c r="K386" s="15"/>
    </row>
    <row r="387" spans="1:13" ht="22.5" customHeight="1" x14ac:dyDescent="0.2">
      <c r="A387" s="11" t="s">
        <v>1017</v>
      </c>
      <c r="B387" s="11" t="s">
        <v>288</v>
      </c>
      <c r="C387" s="12" t="s">
        <v>289</v>
      </c>
      <c r="D387" s="11" t="s">
        <v>32</v>
      </c>
      <c r="E387" s="13" t="s">
        <v>165</v>
      </c>
      <c r="F387" s="13" t="s">
        <v>1018</v>
      </c>
      <c r="G387" s="14">
        <v>25650</v>
      </c>
      <c r="H387" s="14">
        <f t="shared" si="34"/>
        <v>1637.57295</v>
      </c>
      <c r="I387" s="15"/>
      <c r="J387" s="15">
        <f t="shared" si="39"/>
        <v>1637.57295</v>
      </c>
      <c r="K387" s="15"/>
    </row>
    <row r="388" spans="1:13" x14ac:dyDescent="0.2">
      <c r="A388" s="11" t="s">
        <v>1019</v>
      </c>
      <c r="B388" s="11" t="s">
        <v>292</v>
      </c>
      <c r="C388" s="12" t="s">
        <v>293</v>
      </c>
      <c r="D388" s="11" t="s">
        <v>32</v>
      </c>
      <c r="E388" s="13" t="s">
        <v>294</v>
      </c>
      <c r="F388" s="13" t="s">
        <v>1020</v>
      </c>
      <c r="G388" s="14">
        <v>874.37</v>
      </c>
      <c r="H388" s="14">
        <f t="shared" si="34"/>
        <v>369.28667202000003</v>
      </c>
      <c r="I388" s="15"/>
      <c r="J388" s="15">
        <f t="shared" si="39"/>
        <v>369.28667202000003</v>
      </c>
      <c r="K388" s="15"/>
    </row>
    <row r="389" spans="1:13" x14ac:dyDescent="0.2">
      <c r="A389" s="11" t="s">
        <v>1021</v>
      </c>
      <c r="B389" s="11" t="s">
        <v>297</v>
      </c>
      <c r="C389" s="12" t="s">
        <v>298</v>
      </c>
      <c r="D389" s="11" t="s">
        <v>32</v>
      </c>
      <c r="E389" s="13" t="s">
        <v>299</v>
      </c>
      <c r="F389" s="13" t="s">
        <v>1022</v>
      </c>
      <c r="G389" s="14">
        <v>645</v>
      </c>
      <c r="H389" s="14">
        <f t="shared" si="34"/>
        <v>665.19494999999995</v>
      </c>
      <c r="I389" s="15"/>
      <c r="J389" s="15">
        <f t="shared" si="39"/>
        <v>665.19494999999995</v>
      </c>
      <c r="K389" s="15"/>
    </row>
    <row r="390" spans="1:13" x14ac:dyDescent="0.2">
      <c r="A390" s="11" t="s">
        <v>1023</v>
      </c>
      <c r="B390" s="11" t="s">
        <v>302</v>
      </c>
      <c r="C390" s="12" t="s">
        <v>303</v>
      </c>
      <c r="D390" s="11" t="s">
        <v>60</v>
      </c>
      <c r="E390" s="13" t="s">
        <v>304</v>
      </c>
      <c r="F390" s="13" t="s">
        <v>1024</v>
      </c>
      <c r="G390" s="14">
        <v>4500</v>
      </c>
      <c r="H390" s="14">
        <f t="shared" si="34"/>
        <v>5745.8700000000008</v>
      </c>
      <c r="I390" s="15"/>
      <c r="J390" s="15"/>
      <c r="K390" s="15">
        <f t="shared" ref="K390:K400" si="40">H390</f>
        <v>5745.8700000000008</v>
      </c>
    </row>
    <row r="391" spans="1:13" x14ac:dyDescent="0.2">
      <c r="A391" s="11" t="s">
        <v>1025</v>
      </c>
      <c r="B391" s="11" t="s">
        <v>307</v>
      </c>
      <c r="C391" s="12" t="s">
        <v>308</v>
      </c>
      <c r="D391" s="11" t="s">
        <v>43</v>
      </c>
      <c r="E391" s="13" t="s">
        <v>309</v>
      </c>
      <c r="F391" s="13" t="s">
        <v>1026</v>
      </c>
      <c r="G391" s="14">
        <v>5941000</v>
      </c>
      <c r="H391" s="14">
        <f t="shared" si="34"/>
        <v>20423.375700000001</v>
      </c>
      <c r="I391" s="15"/>
      <c r="J391" s="15"/>
      <c r="K391" s="15">
        <f t="shared" si="40"/>
        <v>20423.375700000001</v>
      </c>
    </row>
    <row r="392" spans="1:13" x14ac:dyDescent="0.2">
      <c r="A392" s="11" t="s">
        <v>1027</v>
      </c>
      <c r="B392" s="11" t="s">
        <v>312</v>
      </c>
      <c r="C392" s="12" t="s">
        <v>313</v>
      </c>
      <c r="D392" s="11" t="s">
        <v>314</v>
      </c>
      <c r="E392" s="13" t="s">
        <v>315</v>
      </c>
      <c r="F392" s="13" t="s">
        <v>1028</v>
      </c>
      <c r="G392" s="14">
        <v>6500</v>
      </c>
      <c r="H392" s="14">
        <f t="shared" si="34"/>
        <v>1596.075</v>
      </c>
      <c r="I392" s="15"/>
      <c r="J392" s="15"/>
      <c r="K392" s="15">
        <f t="shared" si="40"/>
        <v>1596.075</v>
      </c>
    </row>
    <row r="393" spans="1:13" x14ac:dyDescent="0.2">
      <c r="A393" s="11" t="s">
        <v>1029</v>
      </c>
      <c r="B393" s="11" t="s">
        <v>318</v>
      </c>
      <c r="C393" s="12" t="s">
        <v>319</v>
      </c>
      <c r="D393" s="11" t="s">
        <v>320</v>
      </c>
      <c r="E393" s="13" t="s">
        <v>321</v>
      </c>
      <c r="F393" s="13" t="s">
        <v>1030</v>
      </c>
      <c r="G393" s="14">
        <v>3200</v>
      </c>
      <c r="H393" s="14">
        <f t="shared" si="34"/>
        <v>2828.7359999999999</v>
      </c>
      <c r="I393" s="15"/>
      <c r="J393" s="15"/>
      <c r="K393" s="15">
        <f t="shared" si="40"/>
        <v>2828.7359999999999</v>
      </c>
    </row>
    <row r="394" spans="1:13" ht="33.75" customHeight="1" x14ac:dyDescent="0.2">
      <c r="A394" s="19" t="s">
        <v>1031</v>
      </c>
      <c r="B394" s="19" t="s">
        <v>504</v>
      </c>
      <c r="C394" s="20" t="s">
        <v>929</v>
      </c>
      <c r="D394" s="19" t="s">
        <v>43</v>
      </c>
      <c r="E394" s="36" t="s">
        <v>1032</v>
      </c>
      <c r="F394" s="36"/>
      <c r="G394" s="14" t="s">
        <v>502</v>
      </c>
      <c r="H394" s="14">
        <f t="shared" si="34"/>
        <v>0</v>
      </c>
      <c r="I394" s="15"/>
      <c r="J394" s="15"/>
      <c r="K394" s="15">
        <f t="shared" si="40"/>
        <v>0</v>
      </c>
    </row>
    <row r="395" spans="1:13" ht="33.75" customHeight="1" x14ac:dyDescent="0.2">
      <c r="A395" s="19" t="s">
        <v>1033</v>
      </c>
      <c r="B395" s="19" t="s">
        <v>595</v>
      </c>
      <c r="C395" s="20" t="s">
        <v>932</v>
      </c>
      <c r="D395" s="19" t="s">
        <v>43</v>
      </c>
      <c r="E395" s="36" t="s">
        <v>1034</v>
      </c>
      <c r="F395" s="36"/>
      <c r="G395" s="14" t="s">
        <v>502</v>
      </c>
      <c r="H395" s="14">
        <f t="shared" si="34"/>
        <v>0</v>
      </c>
      <c r="I395" s="15"/>
      <c r="J395" s="15"/>
      <c r="K395" s="15">
        <f t="shared" si="40"/>
        <v>0</v>
      </c>
    </row>
    <row r="396" spans="1:13" ht="22.5" customHeight="1" x14ac:dyDescent="0.2">
      <c r="A396" s="19" t="s">
        <v>1035</v>
      </c>
      <c r="B396" s="19" t="s">
        <v>850</v>
      </c>
      <c r="C396" s="20" t="s">
        <v>851</v>
      </c>
      <c r="D396" s="19" t="s">
        <v>43</v>
      </c>
      <c r="E396" s="36" t="s">
        <v>1036</v>
      </c>
      <c r="F396" s="36"/>
      <c r="G396" s="14">
        <v>4600000</v>
      </c>
      <c r="H396" s="14">
        <f t="shared" si="34"/>
        <v>278714</v>
      </c>
      <c r="I396" s="15"/>
      <c r="J396" s="15"/>
      <c r="K396" s="15">
        <f t="shared" si="40"/>
        <v>278714</v>
      </c>
    </row>
    <row r="397" spans="1:13" x14ac:dyDescent="0.2">
      <c r="A397" s="19" t="s">
        <v>1037</v>
      </c>
      <c r="B397" s="19" t="s">
        <v>853</v>
      </c>
      <c r="C397" s="20" t="s">
        <v>854</v>
      </c>
      <c r="D397" s="19" t="s">
        <v>43</v>
      </c>
      <c r="E397" s="36" t="s">
        <v>1038</v>
      </c>
      <c r="F397" s="36"/>
      <c r="G397" s="14">
        <v>6040000</v>
      </c>
      <c r="H397" s="14">
        <f t="shared" si="34"/>
        <v>971232</v>
      </c>
      <c r="I397" s="15"/>
      <c r="J397" s="15"/>
      <c r="K397" s="15">
        <f t="shared" si="40"/>
        <v>971232</v>
      </c>
    </row>
    <row r="398" spans="1:13" ht="12.75" customHeight="1" x14ac:dyDescent="0.2">
      <c r="A398" s="37"/>
      <c r="B398" s="37"/>
      <c r="C398" s="37"/>
      <c r="D398" s="37"/>
      <c r="E398" s="37"/>
      <c r="F398" s="37"/>
      <c r="G398" s="14"/>
      <c r="H398" s="14">
        <f t="shared" si="34"/>
        <v>0</v>
      </c>
      <c r="I398" s="15"/>
      <c r="J398" s="15"/>
      <c r="K398" s="15">
        <f t="shared" si="40"/>
        <v>0</v>
      </c>
    </row>
    <row r="399" spans="1:13" ht="12.75" customHeight="1" x14ac:dyDescent="0.2">
      <c r="A399" s="37" t="s">
        <v>1039</v>
      </c>
      <c r="B399" s="37"/>
      <c r="C399" s="37"/>
      <c r="D399" s="37"/>
      <c r="E399" s="37"/>
      <c r="F399" s="37"/>
      <c r="G399" s="14"/>
      <c r="H399" s="14">
        <f t="shared" si="34"/>
        <v>0</v>
      </c>
      <c r="I399" s="15"/>
      <c r="J399" s="15"/>
      <c r="K399" s="15">
        <f t="shared" si="40"/>
        <v>0</v>
      </c>
    </row>
    <row r="400" spans="1:13" x14ac:dyDescent="0.2">
      <c r="A400" s="6" t="s">
        <v>1040</v>
      </c>
      <c r="B400" s="6" t="s">
        <v>858</v>
      </c>
      <c r="C400" s="7" t="s">
        <v>859</v>
      </c>
      <c r="D400" s="6" t="s">
        <v>118</v>
      </c>
      <c r="E400" s="35" t="s">
        <v>1041</v>
      </c>
      <c r="F400" s="35"/>
      <c r="G400" s="8">
        <v>0</v>
      </c>
      <c r="H400" s="8">
        <f t="shared" ref="H400:H463" si="41">IF(ISNUMBER(G400),IF(F400="",E400*G400,F400*G400),0)</f>
        <v>0</v>
      </c>
      <c r="I400" s="9"/>
      <c r="J400" s="9"/>
      <c r="K400" s="9">
        <f t="shared" si="40"/>
        <v>0</v>
      </c>
      <c r="L400" s="10"/>
      <c r="M400" s="10"/>
    </row>
    <row r="401" spans="1:13" x14ac:dyDescent="0.2">
      <c r="A401" s="11" t="s">
        <v>1042</v>
      </c>
      <c r="B401" s="11" t="s">
        <v>19</v>
      </c>
      <c r="C401" s="12" t="s">
        <v>20</v>
      </c>
      <c r="D401" s="11" t="s">
        <v>21</v>
      </c>
      <c r="E401" s="13" t="s">
        <v>862</v>
      </c>
      <c r="F401" s="13" t="s">
        <v>1043</v>
      </c>
      <c r="G401" s="14">
        <v>15807.93</v>
      </c>
      <c r="H401" s="14">
        <f t="shared" si="41"/>
        <v>6623375.1820131009</v>
      </c>
      <c r="I401" s="15">
        <f>H401</f>
        <v>6623375.1820131009</v>
      </c>
      <c r="J401" s="15"/>
      <c r="K401" s="15"/>
    </row>
    <row r="402" spans="1:13" x14ac:dyDescent="0.2">
      <c r="A402" s="16" t="s">
        <v>1044</v>
      </c>
      <c r="B402" s="16" t="s">
        <v>25</v>
      </c>
      <c r="C402" s="17" t="s">
        <v>26</v>
      </c>
      <c r="D402" s="16" t="s">
        <v>21</v>
      </c>
      <c r="E402" s="18" t="s">
        <v>865</v>
      </c>
      <c r="F402" s="18" t="s">
        <v>1045</v>
      </c>
      <c r="G402" s="8">
        <v>0</v>
      </c>
      <c r="H402" s="8">
        <f t="shared" si="41"/>
        <v>0</v>
      </c>
      <c r="I402" s="9"/>
      <c r="J402" s="9">
        <f>H402</f>
        <v>0</v>
      </c>
      <c r="K402" s="9"/>
      <c r="L402" s="10"/>
      <c r="M402" s="10"/>
    </row>
    <row r="403" spans="1:13" x14ac:dyDescent="0.2">
      <c r="A403" s="11" t="s">
        <v>1046</v>
      </c>
      <c r="B403" s="11" t="s">
        <v>153</v>
      </c>
      <c r="C403" s="12" t="s">
        <v>154</v>
      </c>
      <c r="D403" s="11" t="s">
        <v>32</v>
      </c>
      <c r="E403" s="13" t="s">
        <v>868</v>
      </c>
      <c r="F403" s="13" t="s">
        <v>1047</v>
      </c>
      <c r="G403" s="14">
        <v>580</v>
      </c>
      <c r="H403" s="14">
        <f t="shared" si="41"/>
        <v>12063.7796</v>
      </c>
      <c r="I403" s="15"/>
      <c r="J403" s="15">
        <f>H403</f>
        <v>12063.7796</v>
      </c>
      <c r="K403" s="15"/>
    </row>
    <row r="404" spans="1:13" ht="33.75" customHeight="1" x14ac:dyDescent="0.2">
      <c r="A404" s="11" t="s">
        <v>1048</v>
      </c>
      <c r="B404" s="11" t="s">
        <v>158</v>
      </c>
      <c r="C404" s="12" t="s">
        <v>159</v>
      </c>
      <c r="D404" s="11" t="s">
        <v>32</v>
      </c>
      <c r="E404" s="13" t="s">
        <v>871</v>
      </c>
      <c r="F404" s="13" t="s">
        <v>1049</v>
      </c>
      <c r="G404" s="14">
        <v>45270</v>
      </c>
      <c r="H404" s="14">
        <f t="shared" si="41"/>
        <v>5843204.4258000003</v>
      </c>
      <c r="I404" s="15"/>
      <c r="J404" s="15">
        <f>H404</f>
        <v>5843204.4258000003</v>
      </c>
      <c r="K404" s="15"/>
    </row>
    <row r="405" spans="1:13" ht="33.75" customHeight="1" x14ac:dyDescent="0.2">
      <c r="A405" s="11" t="s">
        <v>1050</v>
      </c>
      <c r="B405" s="11" t="s">
        <v>204</v>
      </c>
      <c r="C405" s="12" t="s">
        <v>205</v>
      </c>
      <c r="D405" s="11" t="s">
        <v>32</v>
      </c>
      <c r="E405" s="13" t="s">
        <v>874</v>
      </c>
      <c r="F405" s="13" t="s">
        <v>1051</v>
      </c>
      <c r="G405" s="14">
        <v>102000</v>
      </c>
      <c r="H405" s="14">
        <f t="shared" si="41"/>
        <v>62196.54</v>
      </c>
      <c r="I405" s="15"/>
      <c r="J405" s="15">
        <f>H405</f>
        <v>62196.54</v>
      </c>
      <c r="K405" s="15"/>
    </row>
    <row r="406" spans="1:13" ht="22.5" customHeight="1" x14ac:dyDescent="0.2">
      <c r="A406" s="11" t="s">
        <v>1052</v>
      </c>
      <c r="B406" s="11" t="s">
        <v>163</v>
      </c>
      <c r="C406" s="12" t="s">
        <v>164</v>
      </c>
      <c r="D406" s="11" t="s">
        <v>32</v>
      </c>
      <c r="E406" s="13" t="s">
        <v>877</v>
      </c>
      <c r="F406" s="13" t="s">
        <v>1053</v>
      </c>
      <c r="G406" s="14">
        <v>52621.06</v>
      </c>
      <c r="H406" s="14">
        <f t="shared" si="41"/>
        <v>48204.048223599995</v>
      </c>
      <c r="I406" s="15"/>
      <c r="J406" s="15">
        <f>H406</f>
        <v>48204.048223599995</v>
      </c>
      <c r="K406" s="15"/>
    </row>
    <row r="407" spans="1:13" x14ac:dyDescent="0.2">
      <c r="A407" s="11" t="s">
        <v>1054</v>
      </c>
      <c r="B407" s="11" t="s">
        <v>718</v>
      </c>
      <c r="C407" s="12" t="s">
        <v>719</v>
      </c>
      <c r="D407" s="11" t="s">
        <v>60</v>
      </c>
      <c r="E407" s="13" t="s">
        <v>227</v>
      </c>
      <c r="F407" s="13" t="s">
        <v>1055</v>
      </c>
      <c r="G407" s="14">
        <v>490000</v>
      </c>
      <c r="H407" s="14">
        <f t="shared" si="41"/>
        <v>13975535</v>
      </c>
      <c r="I407" s="15"/>
      <c r="J407" s="15"/>
      <c r="K407" s="15">
        <f t="shared" ref="K407:K412" si="42">H407</f>
        <v>13975535</v>
      </c>
    </row>
    <row r="408" spans="1:13" x14ac:dyDescent="0.2">
      <c r="A408" s="11" t="s">
        <v>1056</v>
      </c>
      <c r="B408" s="11" t="s">
        <v>230</v>
      </c>
      <c r="C408" s="12" t="s">
        <v>231</v>
      </c>
      <c r="D408" s="11" t="s">
        <v>43</v>
      </c>
      <c r="E408" s="13" t="s">
        <v>882</v>
      </c>
      <c r="F408" s="13" t="s">
        <v>1057</v>
      </c>
      <c r="G408" s="14">
        <v>8200000</v>
      </c>
      <c r="H408" s="14">
        <f t="shared" si="41"/>
        <v>142860.4</v>
      </c>
      <c r="I408" s="15"/>
      <c r="J408" s="15"/>
      <c r="K408" s="15">
        <f t="shared" si="42"/>
        <v>142860.4</v>
      </c>
    </row>
    <row r="409" spans="1:13" x14ac:dyDescent="0.2">
      <c r="A409" s="11" t="s">
        <v>1058</v>
      </c>
      <c r="B409" s="11" t="s">
        <v>885</v>
      </c>
      <c r="C409" s="12" t="s">
        <v>886</v>
      </c>
      <c r="D409" s="11" t="s">
        <v>43</v>
      </c>
      <c r="E409" s="13" t="s">
        <v>887</v>
      </c>
      <c r="F409" s="13" t="s">
        <v>1059</v>
      </c>
      <c r="G409" s="14">
        <v>350000</v>
      </c>
      <c r="H409" s="14">
        <f t="shared" si="41"/>
        <v>15539.3</v>
      </c>
      <c r="I409" s="15"/>
      <c r="J409" s="15"/>
      <c r="K409" s="15">
        <f t="shared" si="42"/>
        <v>15539.3</v>
      </c>
    </row>
    <row r="410" spans="1:13" x14ac:dyDescent="0.2">
      <c r="A410" s="11" t="s">
        <v>1060</v>
      </c>
      <c r="B410" s="11" t="s">
        <v>890</v>
      </c>
      <c r="C410" s="12" t="s">
        <v>891</v>
      </c>
      <c r="D410" s="11" t="s">
        <v>43</v>
      </c>
      <c r="E410" s="13" t="s">
        <v>892</v>
      </c>
      <c r="F410" s="13" t="s">
        <v>1061</v>
      </c>
      <c r="G410" s="14">
        <v>5941000</v>
      </c>
      <c r="H410" s="14">
        <f t="shared" si="41"/>
        <v>50082.63</v>
      </c>
      <c r="I410" s="15"/>
      <c r="J410" s="15"/>
      <c r="K410" s="15">
        <f t="shared" si="42"/>
        <v>50082.63</v>
      </c>
    </row>
    <row r="411" spans="1:13" ht="33.75" customHeight="1" x14ac:dyDescent="0.2">
      <c r="A411" s="11" t="s">
        <v>1062</v>
      </c>
      <c r="B411" s="11" t="s">
        <v>895</v>
      </c>
      <c r="C411" s="12" t="s">
        <v>896</v>
      </c>
      <c r="D411" s="11" t="s">
        <v>60</v>
      </c>
      <c r="E411" s="13" t="s">
        <v>40</v>
      </c>
      <c r="F411" s="13" t="s">
        <v>1063</v>
      </c>
      <c r="G411" s="14">
        <v>2000000</v>
      </c>
      <c r="H411" s="14">
        <f t="shared" si="41"/>
        <v>1124000</v>
      </c>
      <c r="I411" s="15"/>
      <c r="J411" s="15"/>
      <c r="K411" s="15">
        <f t="shared" si="42"/>
        <v>1124000</v>
      </c>
    </row>
    <row r="412" spans="1:13" ht="33.75" customHeight="1" x14ac:dyDescent="0.2">
      <c r="A412" s="6" t="s">
        <v>1064</v>
      </c>
      <c r="B412" s="6" t="s">
        <v>263</v>
      </c>
      <c r="C412" s="7" t="s">
        <v>264</v>
      </c>
      <c r="D412" s="6" t="s">
        <v>43</v>
      </c>
      <c r="E412" s="35" t="s">
        <v>1065</v>
      </c>
      <c r="F412" s="35"/>
      <c r="G412" s="8">
        <v>0</v>
      </c>
      <c r="H412" s="8">
        <f t="shared" si="41"/>
        <v>0</v>
      </c>
      <c r="I412" s="9"/>
      <c r="J412" s="9"/>
      <c r="K412" s="9">
        <f t="shared" si="42"/>
        <v>0</v>
      </c>
      <c r="L412" s="10"/>
      <c r="M412" s="10"/>
    </row>
    <row r="413" spans="1:13" ht="22.5" customHeight="1" x14ac:dyDescent="0.2">
      <c r="A413" s="11" t="s">
        <v>1066</v>
      </c>
      <c r="B413" s="11" t="s">
        <v>19</v>
      </c>
      <c r="C413" s="12" t="s">
        <v>20</v>
      </c>
      <c r="D413" s="11" t="s">
        <v>21</v>
      </c>
      <c r="E413" s="13" t="s">
        <v>267</v>
      </c>
      <c r="F413" s="13" t="s">
        <v>1067</v>
      </c>
      <c r="G413" s="14">
        <v>15807.93</v>
      </c>
      <c r="H413" s="14">
        <f t="shared" si="41"/>
        <v>6304425.7678496642</v>
      </c>
      <c r="I413" s="15">
        <f>H413</f>
        <v>6304425.7678496642</v>
      </c>
      <c r="J413" s="15"/>
      <c r="K413" s="15"/>
    </row>
    <row r="414" spans="1:13" x14ac:dyDescent="0.2">
      <c r="A414" s="16" t="s">
        <v>1068</v>
      </c>
      <c r="B414" s="16" t="s">
        <v>25</v>
      </c>
      <c r="C414" s="17" t="s">
        <v>26</v>
      </c>
      <c r="D414" s="16" t="s">
        <v>21</v>
      </c>
      <c r="E414" s="18" t="s">
        <v>270</v>
      </c>
      <c r="F414" s="18" t="s">
        <v>1069</v>
      </c>
      <c r="G414" s="8">
        <v>0</v>
      </c>
      <c r="H414" s="8">
        <f t="shared" si="41"/>
        <v>0</v>
      </c>
      <c r="I414" s="9"/>
      <c r="J414" s="9">
        <f t="shared" ref="J414:J421" si="43">H414</f>
        <v>0</v>
      </c>
      <c r="K414" s="9"/>
      <c r="L414" s="10"/>
      <c r="M414" s="10"/>
    </row>
    <row r="415" spans="1:13" x14ac:dyDescent="0.2">
      <c r="A415" s="11" t="s">
        <v>1070</v>
      </c>
      <c r="B415" s="11" t="s">
        <v>193</v>
      </c>
      <c r="C415" s="12" t="s">
        <v>194</v>
      </c>
      <c r="D415" s="11" t="s">
        <v>32</v>
      </c>
      <c r="E415" s="13" t="s">
        <v>206</v>
      </c>
      <c r="F415" s="13" t="s">
        <v>1071</v>
      </c>
      <c r="G415" s="14">
        <v>54800</v>
      </c>
      <c r="H415" s="14">
        <f t="shared" si="41"/>
        <v>271525.27584000002</v>
      </c>
      <c r="I415" s="15"/>
      <c r="J415" s="15">
        <f t="shared" si="43"/>
        <v>271525.27584000002</v>
      </c>
      <c r="K415" s="15"/>
    </row>
    <row r="416" spans="1:13" ht="33.75" customHeight="1" x14ac:dyDescent="0.2">
      <c r="A416" s="11" t="s">
        <v>1072</v>
      </c>
      <c r="B416" s="11" t="s">
        <v>158</v>
      </c>
      <c r="C416" s="12" t="s">
        <v>159</v>
      </c>
      <c r="D416" s="11" t="s">
        <v>32</v>
      </c>
      <c r="E416" s="13" t="s">
        <v>275</v>
      </c>
      <c r="F416" s="13" t="s">
        <v>1073</v>
      </c>
      <c r="G416" s="14">
        <v>45270</v>
      </c>
      <c r="H416" s="14">
        <f t="shared" si="41"/>
        <v>32043.663288</v>
      </c>
      <c r="I416" s="15"/>
      <c r="J416" s="15">
        <f t="shared" si="43"/>
        <v>32043.663288</v>
      </c>
      <c r="K416" s="15"/>
    </row>
    <row r="417" spans="1:11" x14ac:dyDescent="0.2">
      <c r="A417" s="11" t="s">
        <v>1074</v>
      </c>
      <c r="B417" s="11" t="s">
        <v>278</v>
      </c>
      <c r="C417" s="12" t="s">
        <v>279</v>
      </c>
      <c r="D417" s="11" t="s">
        <v>32</v>
      </c>
      <c r="E417" s="13" t="s">
        <v>280</v>
      </c>
      <c r="F417" s="13" t="s">
        <v>1075</v>
      </c>
      <c r="G417" s="14">
        <v>637.55999999999995</v>
      </c>
      <c r="H417" s="14">
        <f t="shared" si="41"/>
        <v>386.81734291199996</v>
      </c>
      <c r="I417" s="15"/>
      <c r="J417" s="15">
        <f t="shared" si="43"/>
        <v>386.81734291199996</v>
      </c>
      <c r="K417" s="15"/>
    </row>
    <row r="418" spans="1:11" x14ac:dyDescent="0.2">
      <c r="A418" s="11" t="s">
        <v>1076</v>
      </c>
      <c r="B418" s="11" t="s">
        <v>283</v>
      </c>
      <c r="C418" s="12" t="s">
        <v>284</v>
      </c>
      <c r="D418" s="11" t="s">
        <v>32</v>
      </c>
      <c r="E418" s="13" t="s">
        <v>285</v>
      </c>
      <c r="F418" s="13" t="s">
        <v>1077</v>
      </c>
      <c r="G418" s="14">
        <v>650</v>
      </c>
      <c r="H418" s="14">
        <f t="shared" si="41"/>
        <v>4600.9236000000001</v>
      </c>
      <c r="I418" s="15"/>
      <c r="J418" s="15">
        <f t="shared" si="43"/>
        <v>4600.9236000000001</v>
      </c>
      <c r="K418" s="15"/>
    </row>
    <row r="419" spans="1:11" ht="22.5" customHeight="1" x14ac:dyDescent="0.2">
      <c r="A419" s="11" t="s">
        <v>1078</v>
      </c>
      <c r="B419" s="11" t="s">
        <v>288</v>
      </c>
      <c r="C419" s="12" t="s">
        <v>289</v>
      </c>
      <c r="D419" s="11" t="s">
        <v>32</v>
      </c>
      <c r="E419" s="13" t="s">
        <v>165</v>
      </c>
      <c r="F419" s="13" t="s">
        <v>1079</v>
      </c>
      <c r="G419" s="14">
        <v>25650</v>
      </c>
      <c r="H419" s="14">
        <f t="shared" si="41"/>
        <v>16859.098620000001</v>
      </c>
      <c r="I419" s="15"/>
      <c r="J419" s="15">
        <f t="shared" si="43"/>
        <v>16859.098620000001</v>
      </c>
      <c r="K419" s="15"/>
    </row>
    <row r="420" spans="1:11" x14ac:dyDescent="0.2">
      <c r="A420" s="11" t="s">
        <v>1080</v>
      </c>
      <c r="B420" s="11" t="s">
        <v>292</v>
      </c>
      <c r="C420" s="12" t="s">
        <v>293</v>
      </c>
      <c r="D420" s="11" t="s">
        <v>32</v>
      </c>
      <c r="E420" s="13" t="s">
        <v>294</v>
      </c>
      <c r="F420" s="13" t="s">
        <v>1081</v>
      </c>
      <c r="G420" s="14">
        <v>874.37</v>
      </c>
      <c r="H420" s="14">
        <f t="shared" si="41"/>
        <v>3801.8705808720001</v>
      </c>
      <c r="I420" s="15"/>
      <c r="J420" s="15">
        <f t="shared" si="43"/>
        <v>3801.8705808720001</v>
      </c>
      <c r="K420" s="15"/>
    </row>
    <row r="421" spans="1:11" x14ac:dyDescent="0.2">
      <c r="A421" s="11" t="s">
        <v>1082</v>
      </c>
      <c r="B421" s="11" t="s">
        <v>297</v>
      </c>
      <c r="C421" s="12" t="s">
        <v>298</v>
      </c>
      <c r="D421" s="11" t="s">
        <v>32</v>
      </c>
      <c r="E421" s="13" t="s">
        <v>299</v>
      </c>
      <c r="F421" s="13" t="s">
        <v>1083</v>
      </c>
      <c r="G421" s="14">
        <v>645</v>
      </c>
      <c r="H421" s="14">
        <f t="shared" si="41"/>
        <v>6848.2978199999998</v>
      </c>
      <c r="I421" s="15"/>
      <c r="J421" s="15">
        <f t="shared" si="43"/>
        <v>6848.2978199999998</v>
      </c>
      <c r="K421" s="15"/>
    </row>
    <row r="422" spans="1:11" x14ac:dyDescent="0.2">
      <c r="A422" s="11" t="s">
        <v>1084</v>
      </c>
      <c r="B422" s="11" t="s">
        <v>302</v>
      </c>
      <c r="C422" s="12" t="s">
        <v>303</v>
      </c>
      <c r="D422" s="11" t="s">
        <v>60</v>
      </c>
      <c r="E422" s="13" t="s">
        <v>304</v>
      </c>
      <c r="F422" s="13" t="s">
        <v>1085</v>
      </c>
      <c r="G422" s="14">
        <v>4500</v>
      </c>
      <c r="H422" s="14">
        <f t="shared" si="41"/>
        <v>59154.731999999996</v>
      </c>
      <c r="I422" s="15"/>
      <c r="J422" s="15"/>
      <c r="K422" s="15">
        <f t="shared" ref="K422:K434" si="44">H422</f>
        <v>59154.731999999996</v>
      </c>
    </row>
    <row r="423" spans="1:11" x14ac:dyDescent="0.2">
      <c r="A423" s="11" t="s">
        <v>1086</v>
      </c>
      <c r="B423" s="11" t="s">
        <v>307</v>
      </c>
      <c r="C423" s="12" t="s">
        <v>308</v>
      </c>
      <c r="D423" s="11" t="s">
        <v>43</v>
      </c>
      <c r="E423" s="13" t="s">
        <v>309</v>
      </c>
      <c r="F423" s="13" t="s">
        <v>1087</v>
      </c>
      <c r="G423" s="14">
        <v>5941000</v>
      </c>
      <c r="H423" s="14">
        <f t="shared" si="41"/>
        <v>210262.20852000001</v>
      </c>
      <c r="I423" s="15"/>
      <c r="J423" s="15"/>
      <c r="K423" s="15">
        <f t="shared" si="44"/>
        <v>210262.20852000001</v>
      </c>
    </row>
    <row r="424" spans="1:11" x14ac:dyDescent="0.2">
      <c r="A424" s="11" t="s">
        <v>1088</v>
      </c>
      <c r="B424" s="11" t="s">
        <v>312</v>
      </c>
      <c r="C424" s="12" t="s">
        <v>313</v>
      </c>
      <c r="D424" s="11" t="s">
        <v>314</v>
      </c>
      <c r="E424" s="13" t="s">
        <v>315</v>
      </c>
      <c r="F424" s="13" t="s">
        <v>1089</v>
      </c>
      <c r="G424" s="14">
        <v>6500</v>
      </c>
      <c r="H424" s="14">
        <f t="shared" si="41"/>
        <v>16431.87</v>
      </c>
      <c r="I424" s="15"/>
      <c r="J424" s="15"/>
      <c r="K424" s="15">
        <f t="shared" si="44"/>
        <v>16431.87</v>
      </c>
    </row>
    <row r="425" spans="1:11" x14ac:dyDescent="0.2">
      <c r="A425" s="11" t="s">
        <v>1090</v>
      </c>
      <c r="B425" s="11" t="s">
        <v>318</v>
      </c>
      <c r="C425" s="12" t="s">
        <v>319</v>
      </c>
      <c r="D425" s="11" t="s">
        <v>320</v>
      </c>
      <c r="E425" s="13" t="s">
        <v>321</v>
      </c>
      <c r="F425" s="13" t="s">
        <v>1091</v>
      </c>
      <c r="G425" s="14">
        <v>3200</v>
      </c>
      <c r="H425" s="14">
        <f t="shared" si="41"/>
        <v>29122.329600000001</v>
      </c>
      <c r="I425" s="15"/>
      <c r="J425" s="15"/>
      <c r="K425" s="15">
        <f t="shared" si="44"/>
        <v>29122.329600000001</v>
      </c>
    </row>
    <row r="426" spans="1:11" ht="33.75" customHeight="1" x14ac:dyDescent="0.2">
      <c r="A426" s="19" t="s">
        <v>1092</v>
      </c>
      <c r="B426" s="19" t="s">
        <v>496</v>
      </c>
      <c r="C426" s="20" t="s">
        <v>500</v>
      </c>
      <c r="D426" s="19" t="s">
        <v>43</v>
      </c>
      <c r="E426" s="36" t="s">
        <v>1093</v>
      </c>
      <c r="F426" s="36"/>
      <c r="G426" s="14" t="s">
        <v>502</v>
      </c>
      <c r="H426" s="14">
        <f t="shared" si="41"/>
        <v>0</v>
      </c>
      <c r="I426" s="15"/>
      <c r="J426" s="15"/>
      <c r="K426" s="15">
        <f t="shared" si="44"/>
        <v>0</v>
      </c>
    </row>
    <row r="427" spans="1:11" ht="33.75" customHeight="1" x14ac:dyDescent="0.2">
      <c r="A427" s="19" t="s">
        <v>1094</v>
      </c>
      <c r="B427" s="19" t="s">
        <v>504</v>
      </c>
      <c r="C427" s="20" t="s">
        <v>929</v>
      </c>
      <c r="D427" s="19" t="s">
        <v>43</v>
      </c>
      <c r="E427" s="36" t="s">
        <v>1095</v>
      </c>
      <c r="F427" s="36"/>
      <c r="G427" s="14" t="s">
        <v>502</v>
      </c>
      <c r="H427" s="14">
        <f t="shared" si="41"/>
        <v>0</v>
      </c>
      <c r="I427" s="15"/>
      <c r="J427" s="15"/>
      <c r="K427" s="15">
        <f t="shared" si="44"/>
        <v>0</v>
      </c>
    </row>
    <row r="428" spans="1:11" ht="33.75" customHeight="1" x14ac:dyDescent="0.2">
      <c r="A428" s="19" t="s">
        <v>1096</v>
      </c>
      <c r="B428" s="19" t="s">
        <v>844</v>
      </c>
      <c r="C428" s="20" t="s">
        <v>1097</v>
      </c>
      <c r="D428" s="19" t="s">
        <v>43</v>
      </c>
      <c r="E428" s="36" t="s">
        <v>1098</v>
      </c>
      <c r="F428" s="36"/>
      <c r="G428" s="14" t="s">
        <v>502</v>
      </c>
      <c r="H428" s="14">
        <f t="shared" si="41"/>
        <v>0</v>
      </c>
      <c r="I428" s="15"/>
      <c r="J428" s="15"/>
      <c r="K428" s="15">
        <f t="shared" si="44"/>
        <v>0</v>
      </c>
    </row>
    <row r="429" spans="1:11" ht="33.75" customHeight="1" x14ac:dyDescent="0.2">
      <c r="A429" s="19" t="s">
        <v>1099</v>
      </c>
      <c r="B429" s="19" t="s">
        <v>595</v>
      </c>
      <c r="C429" s="20" t="s">
        <v>932</v>
      </c>
      <c r="D429" s="19" t="s">
        <v>43</v>
      </c>
      <c r="E429" s="36" t="s">
        <v>1100</v>
      </c>
      <c r="F429" s="36"/>
      <c r="G429" s="14" t="s">
        <v>502</v>
      </c>
      <c r="H429" s="14">
        <f t="shared" si="41"/>
        <v>0</v>
      </c>
      <c r="I429" s="15"/>
      <c r="J429" s="15"/>
      <c r="K429" s="15">
        <f t="shared" si="44"/>
        <v>0</v>
      </c>
    </row>
    <row r="430" spans="1:11" ht="22.5" customHeight="1" x14ac:dyDescent="0.2">
      <c r="A430" s="19" t="s">
        <v>1101</v>
      </c>
      <c r="B430" s="19" t="s">
        <v>774</v>
      </c>
      <c r="C430" s="20" t="s">
        <v>775</v>
      </c>
      <c r="D430" s="19" t="s">
        <v>43</v>
      </c>
      <c r="E430" s="36" t="s">
        <v>1102</v>
      </c>
      <c r="F430" s="36"/>
      <c r="G430" s="14">
        <v>4600000</v>
      </c>
      <c r="H430" s="14">
        <f t="shared" si="41"/>
        <v>7280098</v>
      </c>
      <c r="I430" s="15"/>
      <c r="J430" s="15"/>
      <c r="K430" s="15">
        <f t="shared" si="44"/>
        <v>7280098</v>
      </c>
    </row>
    <row r="431" spans="1:11" x14ac:dyDescent="0.2">
      <c r="A431" s="19" t="s">
        <v>1103</v>
      </c>
      <c r="B431" s="19" t="s">
        <v>853</v>
      </c>
      <c r="C431" s="20" t="s">
        <v>854</v>
      </c>
      <c r="D431" s="19" t="s">
        <v>43</v>
      </c>
      <c r="E431" s="36" t="s">
        <v>1104</v>
      </c>
      <c r="F431" s="36"/>
      <c r="G431" s="14">
        <v>6040000</v>
      </c>
      <c r="H431" s="14">
        <f t="shared" si="41"/>
        <v>388492.79999999999</v>
      </c>
      <c r="I431" s="15"/>
      <c r="J431" s="15"/>
      <c r="K431" s="15">
        <f t="shared" si="44"/>
        <v>388492.79999999999</v>
      </c>
    </row>
    <row r="432" spans="1:11" ht="12.75" customHeight="1" x14ac:dyDescent="0.2">
      <c r="A432" s="37"/>
      <c r="B432" s="37"/>
      <c r="C432" s="37"/>
      <c r="D432" s="37"/>
      <c r="E432" s="37"/>
      <c r="F432" s="37"/>
      <c r="G432" s="14"/>
      <c r="H432" s="14">
        <f t="shared" si="41"/>
        <v>0</v>
      </c>
      <c r="I432" s="15"/>
      <c r="J432" s="15"/>
      <c r="K432" s="15">
        <f t="shared" si="44"/>
        <v>0</v>
      </c>
    </row>
    <row r="433" spans="1:13" ht="12.75" customHeight="1" x14ac:dyDescent="0.2">
      <c r="A433" s="37" t="s">
        <v>938</v>
      </c>
      <c r="B433" s="37"/>
      <c r="C433" s="37"/>
      <c r="D433" s="37"/>
      <c r="E433" s="37"/>
      <c r="F433" s="37"/>
      <c r="G433" s="14"/>
      <c r="H433" s="14">
        <f t="shared" si="41"/>
        <v>0</v>
      </c>
      <c r="I433" s="15"/>
      <c r="J433" s="15"/>
      <c r="K433" s="15">
        <f t="shared" si="44"/>
        <v>0</v>
      </c>
    </row>
    <row r="434" spans="1:13" ht="45" customHeight="1" x14ac:dyDescent="0.2">
      <c r="A434" s="6" t="s">
        <v>1105</v>
      </c>
      <c r="B434" s="6" t="s">
        <v>940</v>
      </c>
      <c r="C434" s="7" t="s">
        <v>941</v>
      </c>
      <c r="D434" s="6" t="s">
        <v>118</v>
      </c>
      <c r="E434" s="35" t="s">
        <v>309</v>
      </c>
      <c r="F434" s="35"/>
      <c r="G434" s="8">
        <v>0</v>
      </c>
      <c r="H434" s="8">
        <f t="shared" si="41"/>
        <v>0</v>
      </c>
      <c r="I434" s="9"/>
      <c r="J434" s="9"/>
      <c r="K434" s="9">
        <f t="shared" si="44"/>
        <v>0</v>
      </c>
      <c r="L434" s="10"/>
      <c r="M434" s="10"/>
    </row>
    <row r="435" spans="1:13" x14ac:dyDescent="0.2">
      <c r="A435" s="11" t="s">
        <v>1106</v>
      </c>
      <c r="B435" s="11" t="s">
        <v>19</v>
      </c>
      <c r="C435" s="12" t="s">
        <v>20</v>
      </c>
      <c r="D435" s="11" t="s">
        <v>21</v>
      </c>
      <c r="E435" s="13" t="s">
        <v>943</v>
      </c>
      <c r="F435" s="13" t="s">
        <v>944</v>
      </c>
      <c r="G435" s="14">
        <v>15807.93</v>
      </c>
      <c r="H435" s="14">
        <f t="shared" si="41"/>
        <v>159299.672196</v>
      </c>
      <c r="I435" s="15">
        <f>H435</f>
        <v>159299.672196</v>
      </c>
      <c r="J435" s="15"/>
      <c r="K435" s="15"/>
    </row>
    <row r="436" spans="1:13" x14ac:dyDescent="0.2">
      <c r="A436" s="16" t="s">
        <v>1107</v>
      </c>
      <c r="B436" s="16" t="s">
        <v>25</v>
      </c>
      <c r="C436" s="17" t="s">
        <v>26</v>
      </c>
      <c r="D436" s="16" t="s">
        <v>21</v>
      </c>
      <c r="E436" s="18" t="s">
        <v>946</v>
      </c>
      <c r="F436" s="18" t="s">
        <v>947</v>
      </c>
      <c r="G436" s="8">
        <v>0</v>
      </c>
      <c r="H436" s="8">
        <f t="shared" si="41"/>
        <v>0</v>
      </c>
      <c r="I436" s="9"/>
      <c r="J436" s="9">
        <f t="shared" ref="J436:J443" si="45">H436</f>
        <v>0</v>
      </c>
      <c r="K436" s="9"/>
      <c r="L436" s="10"/>
      <c r="M436" s="10"/>
    </row>
    <row r="437" spans="1:13" x14ac:dyDescent="0.2">
      <c r="A437" s="11" t="s">
        <v>1108</v>
      </c>
      <c r="B437" s="11" t="s">
        <v>193</v>
      </c>
      <c r="C437" s="12" t="s">
        <v>194</v>
      </c>
      <c r="D437" s="11" t="s">
        <v>32</v>
      </c>
      <c r="E437" s="13" t="s">
        <v>195</v>
      </c>
      <c r="F437" s="13" t="s">
        <v>949</v>
      </c>
      <c r="G437" s="14">
        <v>54800</v>
      </c>
      <c r="H437" s="14">
        <f t="shared" si="41"/>
        <v>103.572</v>
      </c>
      <c r="I437" s="15"/>
      <c r="J437" s="15">
        <f t="shared" si="45"/>
        <v>103.572</v>
      </c>
      <c r="K437" s="15"/>
    </row>
    <row r="438" spans="1:13" x14ac:dyDescent="0.2">
      <c r="A438" s="11" t="s">
        <v>1109</v>
      </c>
      <c r="B438" s="11" t="s">
        <v>153</v>
      </c>
      <c r="C438" s="12" t="s">
        <v>154</v>
      </c>
      <c r="D438" s="11" t="s">
        <v>32</v>
      </c>
      <c r="E438" s="13" t="s">
        <v>951</v>
      </c>
      <c r="F438" s="13" t="s">
        <v>952</v>
      </c>
      <c r="G438" s="14">
        <v>580</v>
      </c>
      <c r="H438" s="14">
        <f t="shared" si="41"/>
        <v>289.88400000000001</v>
      </c>
      <c r="I438" s="15"/>
      <c r="J438" s="15">
        <f t="shared" si="45"/>
        <v>289.88400000000001</v>
      </c>
      <c r="K438" s="15"/>
    </row>
    <row r="439" spans="1:13" ht="33.75" customHeight="1" x14ac:dyDescent="0.2">
      <c r="A439" s="11" t="s">
        <v>1110</v>
      </c>
      <c r="B439" s="11" t="s">
        <v>158</v>
      </c>
      <c r="C439" s="12" t="s">
        <v>159</v>
      </c>
      <c r="D439" s="11" t="s">
        <v>32</v>
      </c>
      <c r="E439" s="13" t="s">
        <v>954</v>
      </c>
      <c r="F439" s="13" t="s">
        <v>955</v>
      </c>
      <c r="G439" s="14">
        <v>45270</v>
      </c>
      <c r="H439" s="14">
        <f t="shared" si="41"/>
        <v>23795.270100000002</v>
      </c>
      <c r="I439" s="15"/>
      <c r="J439" s="15">
        <f t="shared" si="45"/>
        <v>23795.270100000002</v>
      </c>
      <c r="K439" s="15"/>
    </row>
    <row r="440" spans="1:13" ht="33.75" customHeight="1" x14ac:dyDescent="0.2">
      <c r="A440" s="11" t="s">
        <v>1111</v>
      </c>
      <c r="B440" s="11" t="s">
        <v>204</v>
      </c>
      <c r="C440" s="12" t="s">
        <v>205</v>
      </c>
      <c r="D440" s="11" t="s">
        <v>32</v>
      </c>
      <c r="E440" s="13" t="s">
        <v>285</v>
      </c>
      <c r="F440" s="13" t="s">
        <v>957</v>
      </c>
      <c r="G440" s="14">
        <v>102000</v>
      </c>
      <c r="H440" s="14">
        <f t="shared" si="41"/>
        <v>999.6</v>
      </c>
      <c r="I440" s="15"/>
      <c r="J440" s="15">
        <f t="shared" si="45"/>
        <v>999.6</v>
      </c>
      <c r="K440" s="15"/>
    </row>
    <row r="441" spans="1:13" x14ac:dyDescent="0.2">
      <c r="A441" s="11" t="s">
        <v>1112</v>
      </c>
      <c r="B441" s="11" t="s">
        <v>209</v>
      </c>
      <c r="C441" s="12" t="s">
        <v>210</v>
      </c>
      <c r="D441" s="11" t="s">
        <v>32</v>
      </c>
      <c r="E441" s="13" t="s">
        <v>959</v>
      </c>
      <c r="F441" s="13" t="s">
        <v>960</v>
      </c>
      <c r="G441" s="14">
        <v>873</v>
      </c>
      <c r="H441" s="14">
        <f t="shared" si="41"/>
        <v>29.699460000000002</v>
      </c>
      <c r="I441" s="15"/>
      <c r="J441" s="15">
        <f t="shared" si="45"/>
        <v>29.699460000000002</v>
      </c>
      <c r="K441" s="15"/>
    </row>
    <row r="442" spans="1:13" ht="22.5" customHeight="1" x14ac:dyDescent="0.2">
      <c r="A442" s="11" t="s">
        <v>1113</v>
      </c>
      <c r="B442" s="11" t="s">
        <v>214</v>
      </c>
      <c r="C442" s="12" t="s">
        <v>215</v>
      </c>
      <c r="D442" s="11" t="s">
        <v>32</v>
      </c>
      <c r="E442" s="13" t="s">
        <v>962</v>
      </c>
      <c r="F442" s="13" t="s">
        <v>963</v>
      </c>
      <c r="G442" s="14">
        <v>3200</v>
      </c>
      <c r="H442" s="14">
        <f t="shared" si="41"/>
        <v>5784.3519999999999</v>
      </c>
      <c r="I442" s="15"/>
      <c r="J442" s="15">
        <f t="shared" si="45"/>
        <v>5784.3519999999999</v>
      </c>
      <c r="K442" s="15"/>
    </row>
    <row r="443" spans="1:13" ht="22.5" customHeight="1" x14ac:dyDescent="0.2">
      <c r="A443" s="11" t="s">
        <v>1114</v>
      </c>
      <c r="B443" s="11" t="s">
        <v>163</v>
      </c>
      <c r="C443" s="12" t="s">
        <v>164</v>
      </c>
      <c r="D443" s="11" t="s">
        <v>32</v>
      </c>
      <c r="E443" s="13" t="s">
        <v>965</v>
      </c>
      <c r="F443" s="13" t="s">
        <v>966</v>
      </c>
      <c r="G443" s="14">
        <v>52621.06</v>
      </c>
      <c r="H443" s="14">
        <f t="shared" si="41"/>
        <v>769.84610780000003</v>
      </c>
      <c r="I443" s="15"/>
      <c r="J443" s="15">
        <f t="shared" si="45"/>
        <v>769.84610780000003</v>
      </c>
      <c r="K443" s="15"/>
    </row>
    <row r="444" spans="1:13" x14ac:dyDescent="0.2">
      <c r="A444" s="11" t="s">
        <v>1115</v>
      </c>
      <c r="B444" s="11" t="s">
        <v>168</v>
      </c>
      <c r="C444" s="12" t="s">
        <v>105</v>
      </c>
      <c r="D444" s="11" t="s">
        <v>60</v>
      </c>
      <c r="E444" s="13" t="s">
        <v>968</v>
      </c>
      <c r="F444" s="13" t="s">
        <v>969</v>
      </c>
      <c r="G444" s="14">
        <v>0</v>
      </c>
      <c r="H444" s="14">
        <f t="shared" si="41"/>
        <v>0</v>
      </c>
      <c r="I444" s="15"/>
      <c r="J444" s="15"/>
      <c r="K444" s="15">
        <f t="shared" ref="K444:K456" si="46">H444</f>
        <v>0</v>
      </c>
    </row>
    <row r="445" spans="1:13" x14ac:dyDescent="0.2">
      <c r="A445" s="11" t="s">
        <v>1116</v>
      </c>
      <c r="B445" s="11" t="s">
        <v>718</v>
      </c>
      <c r="C445" s="12" t="s">
        <v>719</v>
      </c>
      <c r="D445" s="11" t="s">
        <v>60</v>
      </c>
      <c r="E445" s="13" t="s">
        <v>227</v>
      </c>
      <c r="F445" s="13" t="s">
        <v>971</v>
      </c>
      <c r="G445" s="14">
        <v>490000</v>
      </c>
      <c r="H445" s="14">
        <f t="shared" si="41"/>
        <v>348145</v>
      </c>
      <c r="I445" s="15"/>
      <c r="J445" s="15"/>
      <c r="K445" s="15">
        <f t="shared" si="46"/>
        <v>348145</v>
      </c>
    </row>
    <row r="446" spans="1:13" x14ac:dyDescent="0.2">
      <c r="A446" s="11" t="s">
        <v>1117</v>
      </c>
      <c r="B446" s="11" t="s">
        <v>230</v>
      </c>
      <c r="C446" s="12" t="s">
        <v>231</v>
      </c>
      <c r="D446" s="11" t="s">
        <v>43</v>
      </c>
      <c r="E446" s="13" t="s">
        <v>552</v>
      </c>
      <c r="F446" s="13" t="s">
        <v>973</v>
      </c>
      <c r="G446" s="14">
        <v>8200000</v>
      </c>
      <c r="H446" s="14">
        <f t="shared" si="41"/>
        <v>2583</v>
      </c>
      <c r="I446" s="15"/>
      <c r="J446" s="15"/>
      <c r="K446" s="15">
        <f t="shared" si="46"/>
        <v>2583</v>
      </c>
    </row>
    <row r="447" spans="1:13" ht="22.5" customHeight="1" x14ac:dyDescent="0.2">
      <c r="A447" s="11" t="s">
        <v>1118</v>
      </c>
      <c r="B447" s="11" t="s">
        <v>235</v>
      </c>
      <c r="C447" s="12" t="s">
        <v>236</v>
      </c>
      <c r="D447" s="11" t="s">
        <v>43</v>
      </c>
      <c r="E447" s="13" t="s">
        <v>975</v>
      </c>
      <c r="F447" s="13" t="s">
        <v>976</v>
      </c>
      <c r="G447" s="14">
        <v>650000</v>
      </c>
      <c r="H447" s="14">
        <f t="shared" si="41"/>
        <v>259.35000000000002</v>
      </c>
      <c r="I447" s="15"/>
      <c r="J447" s="15"/>
      <c r="K447" s="15">
        <f t="shared" si="46"/>
        <v>259.35000000000002</v>
      </c>
    </row>
    <row r="448" spans="1:13" ht="22.5" customHeight="1" x14ac:dyDescent="0.2">
      <c r="A448" s="11" t="s">
        <v>1119</v>
      </c>
      <c r="B448" s="11" t="s">
        <v>240</v>
      </c>
      <c r="C448" s="12" t="s">
        <v>241</v>
      </c>
      <c r="D448" s="11" t="s">
        <v>43</v>
      </c>
      <c r="E448" s="13" t="s">
        <v>978</v>
      </c>
      <c r="F448" s="13" t="s">
        <v>979</v>
      </c>
      <c r="G448" s="14">
        <v>7200000</v>
      </c>
      <c r="H448" s="14">
        <f t="shared" si="41"/>
        <v>604.79999999999995</v>
      </c>
      <c r="I448" s="15"/>
      <c r="J448" s="15"/>
      <c r="K448" s="15">
        <f t="shared" si="46"/>
        <v>604.79999999999995</v>
      </c>
    </row>
    <row r="449" spans="1:13" x14ac:dyDescent="0.2">
      <c r="A449" s="11" t="s">
        <v>1120</v>
      </c>
      <c r="B449" s="11" t="s">
        <v>245</v>
      </c>
      <c r="C449" s="12" t="s">
        <v>246</v>
      </c>
      <c r="D449" s="11" t="s">
        <v>43</v>
      </c>
      <c r="E449" s="13" t="s">
        <v>981</v>
      </c>
      <c r="F449" s="13" t="s">
        <v>982</v>
      </c>
      <c r="G449" s="14">
        <v>10300000</v>
      </c>
      <c r="H449" s="14">
        <f t="shared" si="41"/>
        <v>22351</v>
      </c>
      <c r="I449" s="15"/>
      <c r="J449" s="15"/>
      <c r="K449" s="15">
        <f t="shared" si="46"/>
        <v>22351</v>
      </c>
    </row>
    <row r="450" spans="1:13" ht="33.75" customHeight="1" x14ac:dyDescent="0.2">
      <c r="A450" s="11" t="s">
        <v>1121</v>
      </c>
      <c r="B450" s="11" t="s">
        <v>984</v>
      </c>
      <c r="C450" s="12" t="s">
        <v>985</v>
      </c>
      <c r="D450" s="11" t="s">
        <v>60</v>
      </c>
      <c r="E450" s="13" t="s">
        <v>165</v>
      </c>
      <c r="F450" s="13" t="s">
        <v>986</v>
      </c>
      <c r="G450" s="14">
        <v>2000000</v>
      </c>
      <c r="H450" s="14">
        <f t="shared" si="41"/>
        <v>1820</v>
      </c>
      <c r="I450" s="15"/>
      <c r="J450" s="15"/>
      <c r="K450" s="15">
        <f t="shared" si="46"/>
        <v>1820</v>
      </c>
    </row>
    <row r="451" spans="1:13" ht="33.75" customHeight="1" x14ac:dyDescent="0.2">
      <c r="A451" s="11" t="s">
        <v>1122</v>
      </c>
      <c r="B451" s="11" t="s">
        <v>556</v>
      </c>
      <c r="C451" s="12" t="s">
        <v>557</v>
      </c>
      <c r="D451" s="11" t="s">
        <v>60</v>
      </c>
      <c r="E451" s="13" t="s">
        <v>988</v>
      </c>
      <c r="F451" s="13" t="s">
        <v>989</v>
      </c>
      <c r="G451" s="14">
        <v>2000000</v>
      </c>
      <c r="H451" s="14">
        <f t="shared" si="41"/>
        <v>90440</v>
      </c>
      <c r="I451" s="15"/>
      <c r="J451" s="15"/>
      <c r="K451" s="15">
        <f t="shared" si="46"/>
        <v>90440</v>
      </c>
    </row>
    <row r="452" spans="1:13" ht="33.75" customHeight="1" x14ac:dyDescent="0.2">
      <c r="A452" s="11" t="s">
        <v>1123</v>
      </c>
      <c r="B452" s="11" t="s">
        <v>991</v>
      </c>
      <c r="C452" s="12" t="s">
        <v>992</v>
      </c>
      <c r="D452" s="11" t="s">
        <v>60</v>
      </c>
      <c r="E452" s="13" t="s">
        <v>683</v>
      </c>
      <c r="F452" s="13" t="s">
        <v>993</v>
      </c>
      <c r="G452" s="14">
        <v>2000000</v>
      </c>
      <c r="H452" s="14">
        <f t="shared" si="41"/>
        <v>14280</v>
      </c>
      <c r="I452" s="15"/>
      <c r="J452" s="15"/>
      <c r="K452" s="15">
        <f t="shared" si="46"/>
        <v>14280</v>
      </c>
    </row>
    <row r="453" spans="1:13" ht="33.75" customHeight="1" x14ac:dyDescent="0.2">
      <c r="A453" s="11" t="s">
        <v>1124</v>
      </c>
      <c r="B453" s="11" t="s">
        <v>995</v>
      </c>
      <c r="C453" s="12" t="s">
        <v>996</v>
      </c>
      <c r="D453" s="11" t="s">
        <v>60</v>
      </c>
      <c r="E453" s="13" t="s">
        <v>275</v>
      </c>
      <c r="F453" s="13" t="s">
        <v>997</v>
      </c>
      <c r="G453" s="14">
        <v>2000000</v>
      </c>
      <c r="H453" s="14">
        <f t="shared" si="41"/>
        <v>1960</v>
      </c>
      <c r="I453" s="15"/>
      <c r="J453" s="15"/>
      <c r="K453" s="15">
        <f t="shared" si="46"/>
        <v>1960</v>
      </c>
    </row>
    <row r="454" spans="1:13" ht="33.75" customHeight="1" x14ac:dyDescent="0.2">
      <c r="A454" s="11" t="s">
        <v>1125</v>
      </c>
      <c r="B454" s="11" t="s">
        <v>253</v>
      </c>
      <c r="C454" s="12" t="s">
        <v>254</v>
      </c>
      <c r="D454" s="11" t="s">
        <v>60</v>
      </c>
      <c r="E454" s="13" t="s">
        <v>40</v>
      </c>
      <c r="F454" s="13" t="s">
        <v>999</v>
      </c>
      <c r="G454" s="14">
        <v>2000000</v>
      </c>
      <c r="H454" s="14">
        <f t="shared" si="41"/>
        <v>28000</v>
      </c>
      <c r="I454" s="15"/>
      <c r="J454" s="15"/>
      <c r="K454" s="15">
        <f t="shared" si="46"/>
        <v>28000</v>
      </c>
    </row>
    <row r="455" spans="1:13" x14ac:dyDescent="0.2">
      <c r="A455" s="11" t="s">
        <v>1126</v>
      </c>
      <c r="B455" s="11" t="s">
        <v>563</v>
      </c>
      <c r="C455" s="12" t="s">
        <v>564</v>
      </c>
      <c r="D455" s="11" t="s">
        <v>179</v>
      </c>
      <c r="E455" s="13" t="s">
        <v>1001</v>
      </c>
      <c r="F455" s="13" t="s">
        <v>1002</v>
      </c>
      <c r="G455" s="14">
        <v>25000</v>
      </c>
      <c r="H455" s="14">
        <f t="shared" si="41"/>
        <v>24675</v>
      </c>
      <c r="I455" s="15"/>
      <c r="J455" s="15"/>
      <c r="K455" s="15">
        <f t="shared" si="46"/>
        <v>24675</v>
      </c>
    </row>
    <row r="456" spans="1:13" ht="33.75" customHeight="1" x14ac:dyDescent="0.2">
      <c r="A456" s="6" t="s">
        <v>1127</v>
      </c>
      <c r="B456" s="6" t="s">
        <v>263</v>
      </c>
      <c r="C456" s="7" t="s">
        <v>264</v>
      </c>
      <c r="D456" s="6" t="s">
        <v>43</v>
      </c>
      <c r="E456" s="35" t="s">
        <v>1004</v>
      </c>
      <c r="F456" s="35"/>
      <c r="G456" s="8">
        <v>0</v>
      </c>
      <c r="H456" s="8">
        <f t="shared" si="41"/>
        <v>0</v>
      </c>
      <c r="I456" s="9"/>
      <c r="J456" s="9"/>
      <c r="K456" s="9">
        <f t="shared" si="46"/>
        <v>0</v>
      </c>
      <c r="L456" s="10"/>
      <c r="M456" s="10"/>
    </row>
    <row r="457" spans="1:13" x14ac:dyDescent="0.2">
      <c r="A457" s="11" t="s">
        <v>1128</v>
      </c>
      <c r="B457" s="11" t="s">
        <v>19</v>
      </c>
      <c r="C457" s="12" t="s">
        <v>20</v>
      </c>
      <c r="D457" s="11" t="s">
        <v>21</v>
      </c>
      <c r="E457" s="13" t="s">
        <v>267</v>
      </c>
      <c r="F457" s="13" t="s">
        <v>1006</v>
      </c>
      <c r="G457" s="14">
        <v>15807.93</v>
      </c>
      <c r="H457" s="14">
        <f t="shared" si="41"/>
        <v>612367.08648624003</v>
      </c>
      <c r="I457" s="15">
        <f>H457</f>
        <v>612367.08648624003</v>
      </c>
      <c r="J457" s="15"/>
      <c r="K457" s="15"/>
    </row>
    <row r="458" spans="1:13" x14ac:dyDescent="0.2">
      <c r="A458" s="16" t="s">
        <v>1129</v>
      </c>
      <c r="B458" s="16" t="s">
        <v>25</v>
      </c>
      <c r="C458" s="17" t="s">
        <v>26</v>
      </c>
      <c r="D458" s="16" t="s">
        <v>21</v>
      </c>
      <c r="E458" s="18" t="s">
        <v>270</v>
      </c>
      <c r="F458" s="18" t="s">
        <v>1008</v>
      </c>
      <c r="G458" s="8">
        <v>0</v>
      </c>
      <c r="H458" s="8">
        <f t="shared" si="41"/>
        <v>0</v>
      </c>
      <c r="I458" s="9"/>
      <c r="J458" s="9">
        <f t="shared" ref="J458:J465" si="47">H458</f>
        <v>0</v>
      </c>
      <c r="K458" s="9"/>
      <c r="L458" s="10"/>
      <c r="M458" s="10"/>
    </row>
    <row r="459" spans="1:13" x14ac:dyDescent="0.2">
      <c r="A459" s="11" t="s">
        <v>1130</v>
      </c>
      <c r="B459" s="11" t="s">
        <v>193</v>
      </c>
      <c r="C459" s="12" t="s">
        <v>194</v>
      </c>
      <c r="D459" s="11" t="s">
        <v>32</v>
      </c>
      <c r="E459" s="13" t="s">
        <v>206</v>
      </c>
      <c r="F459" s="13" t="s">
        <v>1010</v>
      </c>
      <c r="G459" s="14">
        <v>54800</v>
      </c>
      <c r="H459" s="14">
        <f t="shared" si="41"/>
        <v>26374.0344</v>
      </c>
      <c r="I459" s="15"/>
      <c r="J459" s="15">
        <f t="shared" si="47"/>
        <v>26374.0344</v>
      </c>
      <c r="K459" s="15"/>
    </row>
    <row r="460" spans="1:13" ht="33.75" customHeight="1" x14ac:dyDescent="0.2">
      <c r="A460" s="11" t="s">
        <v>1131</v>
      </c>
      <c r="B460" s="11" t="s">
        <v>158</v>
      </c>
      <c r="C460" s="12" t="s">
        <v>159</v>
      </c>
      <c r="D460" s="11" t="s">
        <v>32</v>
      </c>
      <c r="E460" s="13" t="s">
        <v>275</v>
      </c>
      <c r="F460" s="13" t="s">
        <v>1012</v>
      </c>
      <c r="G460" s="14">
        <v>45270</v>
      </c>
      <c r="H460" s="14">
        <f t="shared" si="41"/>
        <v>3112.4935799999998</v>
      </c>
      <c r="I460" s="15"/>
      <c r="J460" s="15">
        <f t="shared" si="47"/>
        <v>3112.4935799999998</v>
      </c>
      <c r="K460" s="15"/>
    </row>
    <row r="461" spans="1:13" x14ac:dyDescent="0.2">
      <c r="A461" s="11" t="s">
        <v>1132</v>
      </c>
      <c r="B461" s="11" t="s">
        <v>278</v>
      </c>
      <c r="C461" s="12" t="s">
        <v>279</v>
      </c>
      <c r="D461" s="11" t="s">
        <v>32</v>
      </c>
      <c r="E461" s="13" t="s">
        <v>280</v>
      </c>
      <c r="F461" s="13" t="s">
        <v>1014</v>
      </c>
      <c r="G461" s="14">
        <v>637.55999999999995</v>
      </c>
      <c r="H461" s="14">
        <f t="shared" si="41"/>
        <v>37.572685919999998</v>
      </c>
      <c r="I461" s="15"/>
      <c r="J461" s="15">
        <f t="shared" si="47"/>
        <v>37.572685919999998</v>
      </c>
      <c r="K461" s="15"/>
    </row>
    <row r="462" spans="1:13" x14ac:dyDescent="0.2">
      <c r="A462" s="11" t="s">
        <v>1133</v>
      </c>
      <c r="B462" s="11" t="s">
        <v>283</v>
      </c>
      <c r="C462" s="12" t="s">
        <v>284</v>
      </c>
      <c r="D462" s="11" t="s">
        <v>32</v>
      </c>
      <c r="E462" s="13" t="s">
        <v>285</v>
      </c>
      <c r="F462" s="13" t="s">
        <v>1016</v>
      </c>
      <c r="G462" s="14">
        <v>650</v>
      </c>
      <c r="H462" s="14">
        <f t="shared" si="41"/>
        <v>446.90100000000001</v>
      </c>
      <c r="I462" s="15"/>
      <c r="J462" s="15">
        <f t="shared" si="47"/>
        <v>446.90100000000001</v>
      </c>
      <c r="K462" s="15"/>
    </row>
    <row r="463" spans="1:13" ht="22.5" customHeight="1" x14ac:dyDescent="0.2">
      <c r="A463" s="11" t="s">
        <v>1134</v>
      </c>
      <c r="B463" s="11" t="s">
        <v>288</v>
      </c>
      <c r="C463" s="12" t="s">
        <v>289</v>
      </c>
      <c r="D463" s="11" t="s">
        <v>32</v>
      </c>
      <c r="E463" s="13" t="s">
        <v>165</v>
      </c>
      <c r="F463" s="13" t="s">
        <v>1018</v>
      </c>
      <c r="G463" s="14">
        <v>25650</v>
      </c>
      <c r="H463" s="14">
        <f t="shared" si="41"/>
        <v>1637.57295</v>
      </c>
      <c r="I463" s="15"/>
      <c r="J463" s="15">
        <f t="shared" si="47"/>
        <v>1637.57295</v>
      </c>
      <c r="K463" s="15"/>
    </row>
    <row r="464" spans="1:13" x14ac:dyDescent="0.2">
      <c r="A464" s="11" t="s">
        <v>1135</v>
      </c>
      <c r="B464" s="11" t="s">
        <v>292</v>
      </c>
      <c r="C464" s="12" t="s">
        <v>293</v>
      </c>
      <c r="D464" s="11" t="s">
        <v>32</v>
      </c>
      <c r="E464" s="13" t="s">
        <v>294</v>
      </c>
      <c r="F464" s="13" t="s">
        <v>1020</v>
      </c>
      <c r="G464" s="14">
        <v>874.37</v>
      </c>
      <c r="H464" s="14">
        <f t="shared" ref="H464:H527" si="48">IF(ISNUMBER(G464),IF(F464="",E464*G464,F464*G464),0)</f>
        <v>369.28667202000003</v>
      </c>
      <c r="I464" s="15"/>
      <c r="J464" s="15">
        <f t="shared" si="47"/>
        <v>369.28667202000003</v>
      </c>
      <c r="K464" s="15"/>
    </row>
    <row r="465" spans="1:13" x14ac:dyDescent="0.2">
      <c r="A465" s="11" t="s">
        <v>1136</v>
      </c>
      <c r="B465" s="11" t="s">
        <v>297</v>
      </c>
      <c r="C465" s="12" t="s">
        <v>298</v>
      </c>
      <c r="D465" s="11" t="s">
        <v>32</v>
      </c>
      <c r="E465" s="13" t="s">
        <v>299</v>
      </c>
      <c r="F465" s="13" t="s">
        <v>1022</v>
      </c>
      <c r="G465" s="14">
        <v>645</v>
      </c>
      <c r="H465" s="14">
        <f t="shared" si="48"/>
        <v>665.19494999999995</v>
      </c>
      <c r="I465" s="15"/>
      <c r="J465" s="15">
        <f t="shared" si="47"/>
        <v>665.19494999999995</v>
      </c>
      <c r="K465" s="15"/>
    </row>
    <row r="466" spans="1:13" x14ac:dyDescent="0.2">
      <c r="A466" s="11" t="s">
        <v>1137</v>
      </c>
      <c r="B466" s="11" t="s">
        <v>302</v>
      </c>
      <c r="C466" s="12" t="s">
        <v>303</v>
      </c>
      <c r="D466" s="11" t="s">
        <v>60</v>
      </c>
      <c r="E466" s="13" t="s">
        <v>304</v>
      </c>
      <c r="F466" s="13" t="s">
        <v>1024</v>
      </c>
      <c r="G466" s="14">
        <v>4500</v>
      </c>
      <c r="H466" s="14">
        <f t="shared" si="48"/>
        <v>5745.8700000000008</v>
      </c>
      <c r="I466" s="15"/>
      <c r="J466" s="15"/>
      <c r="K466" s="15">
        <f t="shared" ref="K466:K476" si="49">H466</f>
        <v>5745.8700000000008</v>
      </c>
    </row>
    <row r="467" spans="1:13" x14ac:dyDescent="0.2">
      <c r="A467" s="11" t="s">
        <v>1138</v>
      </c>
      <c r="B467" s="11" t="s">
        <v>307</v>
      </c>
      <c r="C467" s="12" t="s">
        <v>308</v>
      </c>
      <c r="D467" s="11" t="s">
        <v>43</v>
      </c>
      <c r="E467" s="13" t="s">
        <v>309</v>
      </c>
      <c r="F467" s="13" t="s">
        <v>1026</v>
      </c>
      <c r="G467" s="14">
        <v>5941000</v>
      </c>
      <c r="H467" s="14">
        <f t="shared" si="48"/>
        <v>20423.375700000001</v>
      </c>
      <c r="I467" s="15"/>
      <c r="J467" s="15"/>
      <c r="K467" s="15">
        <f t="shared" si="49"/>
        <v>20423.375700000001</v>
      </c>
    </row>
    <row r="468" spans="1:13" x14ac:dyDescent="0.2">
      <c r="A468" s="11" t="s">
        <v>1139</v>
      </c>
      <c r="B468" s="11" t="s">
        <v>312</v>
      </c>
      <c r="C468" s="12" t="s">
        <v>313</v>
      </c>
      <c r="D468" s="11" t="s">
        <v>314</v>
      </c>
      <c r="E468" s="13" t="s">
        <v>315</v>
      </c>
      <c r="F468" s="13" t="s">
        <v>1028</v>
      </c>
      <c r="G468" s="14">
        <v>6500</v>
      </c>
      <c r="H468" s="14">
        <f t="shared" si="48"/>
        <v>1596.075</v>
      </c>
      <c r="I468" s="15"/>
      <c r="J468" s="15"/>
      <c r="K468" s="15">
        <f t="shared" si="49"/>
        <v>1596.075</v>
      </c>
    </row>
    <row r="469" spans="1:13" x14ac:dyDescent="0.2">
      <c r="A469" s="11" t="s">
        <v>1140</v>
      </c>
      <c r="B469" s="11" t="s">
        <v>318</v>
      </c>
      <c r="C469" s="12" t="s">
        <v>319</v>
      </c>
      <c r="D469" s="11" t="s">
        <v>320</v>
      </c>
      <c r="E469" s="13" t="s">
        <v>321</v>
      </c>
      <c r="F469" s="13" t="s">
        <v>1030</v>
      </c>
      <c r="G469" s="14">
        <v>3200</v>
      </c>
      <c r="H469" s="14">
        <f t="shared" si="48"/>
        <v>2828.7359999999999</v>
      </c>
      <c r="I469" s="15"/>
      <c r="J469" s="15"/>
      <c r="K469" s="15">
        <f t="shared" si="49"/>
        <v>2828.7359999999999</v>
      </c>
    </row>
    <row r="470" spans="1:13" ht="33.75" customHeight="1" x14ac:dyDescent="0.2">
      <c r="A470" s="19" t="s">
        <v>1141</v>
      </c>
      <c r="B470" s="19" t="s">
        <v>504</v>
      </c>
      <c r="C470" s="20" t="s">
        <v>929</v>
      </c>
      <c r="D470" s="19" t="s">
        <v>43</v>
      </c>
      <c r="E470" s="36" t="s">
        <v>1032</v>
      </c>
      <c r="F470" s="36"/>
      <c r="G470" s="14" t="s">
        <v>502</v>
      </c>
      <c r="H470" s="14">
        <f t="shared" si="48"/>
        <v>0</v>
      </c>
      <c r="I470" s="15"/>
      <c r="J470" s="15"/>
      <c r="K470" s="15">
        <f t="shared" si="49"/>
        <v>0</v>
      </c>
    </row>
    <row r="471" spans="1:13" ht="33.75" customHeight="1" x14ac:dyDescent="0.2">
      <c r="A471" s="19" t="s">
        <v>1142</v>
      </c>
      <c r="B471" s="19" t="s">
        <v>595</v>
      </c>
      <c r="C471" s="20" t="s">
        <v>932</v>
      </c>
      <c r="D471" s="19" t="s">
        <v>43</v>
      </c>
      <c r="E471" s="36" t="s">
        <v>1034</v>
      </c>
      <c r="F471" s="36"/>
      <c r="G471" s="14" t="s">
        <v>502</v>
      </c>
      <c r="H471" s="14">
        <f t="shared" si="48"/>
        <v>0</v>
      </c>
      <c r="I471" s="15"/>
      <c r="J471" s="15"/>
      <c r="K471" s="15">
        <f t="shared" si="49"/>
        <v>0</v>
      </c>
    </row>
    <row r="472" spans="1:13" ht="22.5" customHeight="1" x14ac:dyDescent="0.2">
      <c r="A472" s="19" t="s">
        <v>1143</v>
      </c>
      <c r="B472" s="19" t="s">
        <v>850</v>
      </c>
      <c r="C472" s="20" t="s">
        <v>851</v>
      </c>
      <c r="D472" s="19" t="s">
        <v>43</v>
      </c>
      <c r="E472" s="36" t="s">
        <v>1036</v>
      </c>
      <c r="F472" s="36"/>
      <c r="G472" s="14">
        <v>4600000</v>
      </c>
      <c r="H472" s="14">
        <f t="shared" si="48"/>
        <v>278714</v>
      </c>
      <c r="I472" s="15"/>
      <c r="J472" s="15"/>
      <c r="K472" s="15">
        <f t="shared" si="49"/>
        <v>278714</v>
      </c>
    </row>
    <row r="473" spans="1:13" x14ac:dyDescent="0.2">
      <c r="A473" s="19" t="s">
        <v>565</v>
      </c>
      <c r="B473" s="19" t="s">
        <v>853</v>
      </c>
      <c r="C473" s="20" t="s">
        <v>854</v>
      </c>
      <c r="D473" s="19" t="s">
        <v>43</v>
      </c>
      <c r="E473" s="36" t="s">
        <v>1038</v>
      </c>
      <c r="F473" s="36"/>
      <c r="G473" s="14">
        <v>6040000</v>
      </c>
      <c r="H473" s="14">
        <f t="shared" si="48"/>
        <v>971232</v>
      </c>
      <c r="I473" s="15"/>
      <c r="J473" s="15"/>
      <c r="K473" s="15">
        <f t="shared" si="49"/>
        <v>971232</v>
      </c>
    </row>
    <row r="474" spans="1:13" ht="12.75" customHeight="1" x14ac:dyDescent="0.2">
      <c r="A474" s="37"/>
      <c r="B474" s="37"/>
      <c r="C474" s="37"/>
      <c r="D474" s="37"/>
      <c r="E474" s="37"/>
      <c r="F474" s="37"/>
      <c r="G474" s="14"/>
      <c r="H474" s="14">
        <f t="shared" si="48"/>
        <v>0</v>
      </c>
      <c r="I474" s="15"/>
      <c r="J474" s="15"/>
      <c r="K474" s="15">
        <f t="shared" si="49"/>
        <v>0</v>
      </c>
    </row>
    <row r="475" spans="1:13" ht="12.75" customHeight="1" x14ac:dyDescent="0.2">
      <c r="A475" s="37" t="s">
        <v>1144</v>
      </c>
      <c r="B475" s="37"/>
      <c r="C475" s="37"/>
      <c r="D475" s="37"/>
      <c r="E475" s="37"/>
      <c r="F475" s="37"/>
      <c r="G475" s="14"/>
      <c r="H475" s="14">
        <f t="shared" si="48"/>
        <v>0</v>
      </c>
      <c r="I475" s="15"/>
      <c r="J475" s="15"/>
      <c r="K475" s="15">
        <f t="shared" si="49"/>
        <v>0</v>
      </c>
    </row>
    <row r="476" spans="1:13" ht="22.5" customHeight="1" x14ac:dyDescent="0.2">
      <c r="A476" s="6" t="s">
        <v>1145</v>
      </c>
      <c r="B476" s="6" t="s">
        <v>1146</v>
      </c>
      <c r="C476" s="7" t="s">
        <v>1147</v>
      </c>
      <c r="D476" s="6" t="s">
        <v>1148</v>
      </c>
      <c r="E476" s="35" t="s">
        <v>1149</v>
      </c>
      <c r="F476" s="35"/>
      <c r="G476" s="8">
        <v>0</v>
      </c>
      <c r="H476" s="8">
        <f t="shared" si="48"/>
        <v>0</v>
      </c>
      <c r="I476" s="9"/>
      <c r="J476" s="9"/>
      <c r="K476" s="9">
        <f t="shared" si="49"/>
        <v>0</v>
      </c>
      <c r="L476" s="10"/>
      <c r="M476" s="10"/>
    </row>
    <row r="477" spans="1:13" x14ac:dyDescent="0.2">
      <c r="A477" s="11" t="s">
        <v>1150</v>
      </c>
      <c r="B477" s="11" t="s">
        <v>19</v>
      </c>
      <c r="C477" s="12" t="s">
        <v>20</v>
      </c>
      <c r="D477" s="11" t="s">
        <v>21</v>
      </c>
      <c r="E477" s="13" t="s">
        <v>1151</v>
      </c>
      <c r="F477" s="13" t="s">
        <v>1152</v>
      </c>
      <c r="G477" s="14">
        <v>15807.93</v>
      </c>
      <c r="H477" s="14">
        <f t="shared" si="48"/>
        <v>1850160.1272000002</v>
      </c>
      <c r="I477" s="15">
        <f>H477</f>
        <v>1850160.1272000002</v>
      </c>
      <c r="J477" s="15"/>
      <c r="K477" s="15"/>
    </row>
    <row r="478" spans="1:13" x14ac:dyDescent="0.2">
      <c r="A478" s="16" t="s">
        <v>1153</v>
      </c>
      <c r="B478" s="16" t="s">
        <v>25</v>
      </c>
      <c r="C478" s="17" t="s">
        <v>26</v>
      </c>
      <c r="D478" s="16" t="s">
        <v>21</v>
      </c>
      <c r="E478" s="18" t="s">
        <v>1154</v>
      </c>
      <c r="F478" s="18" t="s">
        <v>1155</v>
      </c>
      <c r="G478" s="8">
        <v>0</v>
      </c>
      <c r="H478" s="8">
        <f t="shared" si="48"/>
        <v>0</v>
      </c>
      <c r="I478" s="9"/>
      <c r="J478" s="9">
        <f>H478</f>
        <v>0</v>
      </c>
      <c r="K478" s="9"/>
      <c r="L478" s="10"/>
      <c r="M478" s="10"/>
    </row>
    <row r="479" spans="1:13" ht="33.75" customHeight="1" x14ac:dyDescent="0.2">
      <c r="A479" s="11" t="s">
        <v>1156</v>
      </c>
      <c r="B479" s="11" t="s">
        <v>158</v>
      </c>
      <c r="C479" s="12" t="s">
        <v>159</v>
      </c>
      <c r="D479" s="11" t="s">
        <v>32</v>
      </c>
      <c r="E479" s="13" t="s">
        <v>1157</v>
      </c>
      <c r="F479" s="13" t="s">
        <v>1158</v>
      </c>
      <c r="G479" s="14">
        <v>45270</v>
      </c>
      <c r="H479" s="14">
        <f t="shared" si="48"/>
        <v>904512.70799999998</v>
      </c>
      <c r="I479" s="15"/>
      <c r="J479" s="15">
        <f>H479</f>
        <v>904512.70799999998</v>
      </c>
      <c r="K479" s="15"/>
    </row>
    <row r="480" spans="1:13" ht="22.5" customHeight="1" x14ac:dyDescent="0.2">
      <c r="A480" s="11" t="s">
        <v>1159</v>
      </c>
      <c r="B480" s="11" t="s">
        <v>214</v>
      </c>
      <c r="C480" s="12" t="s">
        <v>215</v>
      </c>
      <c r="D480" s="11" t="s">
        <v>32</v>
      </c>
      <c r="E480" s="13" t="s">
        <v>1160</v>
      </c>
      <c r="F480" s="13" t="s">
        <v>1161</v>
      </c>
      <c r="G480" s="14">
        <v>3200</v>
      </c>
      <c r="H480" s="14">
        <f t="shared" si="48"/>
        <v>39592.959999999999</v>
      </c>
      <c r="I480" s="15"/>
      <c r="J480" s="15">
        <f>H480</f>
        <v>39592.959999999999</v>
      </c>
      <c r="K480" s="15"/>
    </row>
    <row r="481" spans="1:13" ht="22.5" customHeight="1" x14ac:dyDescent="0.2">
      <c r="A481" s="11" t="s">
        <v>1162</v>
      </c>
      <c r="B481" s="11" t="s">
        <v>163</v>
      </c>
      <c r="C481" s="12" t="s">
        <v>164</v>
      </c>
      <c r="D481" s="11" t="s">
        <v>32</v>
      </c>
      <c r="E481" s="13" t="s">
        <v>1163</v>
      </c>
      <c r="F481" s="13" t="s">
        <v>1164</v>
      </c>
      <c r="G481" s="14">
        <v>52621.06</v>
      </c>
      <c r="H481" s="14">
        <f t="shared" si="48"/>
        <v>51400.251407999996</v>
      </c>
      <c r="I481" s="15"/>
      <c r="J481" s="15">
        <f>H481</f>
        <v>51400.251407999996</v>
      </c>
      <c r="K481" s="15"/>
    </row>
    <row r="482" spans="1:13" ht="22.5" customHeight="1" x14ac:dyDescent="0.2">
      <c r="A482" s="11" t="s">
        <v>1165</v>
      </c>
      <c r="B482" s="11" t="s">
        <v>1166</v>
      </c>
      <c r="C482" s="12" t="s">
        <v>1167</v>
      </c>
      <c r="D482" s="11" t="s">
        <v>60</v>
      </c>
      <c r="E482" s="13" t="s">
        <v>1168</v>
      </c>
      <c r="F482" s="13" t="s">
        <v>1169</v>
      </c>
      <c r="G482" s="14">
        <v>280000</v>
      </c>
      <c r="H482" s="14">
        <f t="shared" si="48"/>
        <v>804496</v>
      </c>
      <c r="I482" s="15"/>
      <c r="J482" s="15"/>
      <c r="K482" s="15">
        <f t="shared" ref="K482:K488" si="50">H482</f>
        <v>804496</v>
      </c>
    </row>
    <row r="483" spans="1:13" x14ac:dyDescent="0.2">
      <c r="A483" s="11" t="s">
        <v>1170</v>
      </c>
      <c r="B483" s="11" t="s">
        <v>1171</v>
      </c>
      <c r="C483" s="12" t="s">
        <v>1172</v>
      </c>
      <c r="D483" s="11" t="s">
        <v>43</v>
      </c>
      <c r="E483" s="13" t="s">
        <v>656</v>
      </c>
      <c r="F483" s="13" t="s">
        <v>1173</v>
      </c>
      <c r="G483" s="14">
        <v>10300000</v>
      </c>
      <c r="H483" s="14">
        <f t="shared" si="48"/>
        <v>226600</v>
      </c>
      <c r="I483" s="15"/>
      <c r="J483" s="15"/>
      <c r="K483" s="15">
        <f t="shared" si="50"/>
        <v>226600</v>
      </c>
    </row>
    <row r="484" spans="1:13" x14ac:dyDescent="0.2">
      <c r="A484" s="19" t="s">
        <v>1174</v>
      </c>
      <c r="B484" s="19" t="s">
        <v>1175</v>
      </c>
      <c r="C484" s="20" t="s">
        <v>1176</v>
      </c>
      <c r="D484" s="19" t="s">
        <v>314</v>
      </c>
      <c r="E484" s="36" t="s">
        <v>463</v>
      </c>
      <c r="F484" s="36"/>
      <c r="G484" s="14">
        <v>915315</v>
      </c>
      <c r="H484" s="14">
        <f t="shared" si="48"/>
        <v>21967560</v>
      </c>
      <c r="I484" s="15"/>
      <c r="J484" s="15"/>
      <c r="K484" s="15">
        <f t="shared" si="50"/>
        <v>21967560</v>
      </c>
    </row>
    <row r="485" spans="1:13" x14ac:dyDescent="0.2">
      <c r="A485" s="19" t="s">
        <v>1177</v>
      </c>
      <c r="B485" s="19" t="s">
        <v>1178</v>
      </c>
      <c r="C485" s="20" t="s">
        <v>1179</v>
      </c>
      <c r="D485" s="19" t="s">
        <v>314</v>
      </c>
      <c r="E485" s="36" t="s">
        <v>365</v>
      </c>
      <c r="F485" s="36"/>
      <c r="G485" s="14">
        <v>1087874</v>
      </c>
      <c r="H485" s="14">
        <f t="shared" si="48"/>
        <v>17405984</v>
      </c>
      <c r="I485" s="15"/>
      <c r="J485" s="15"/>
      <c r="K485" s="15">
        <f t="shared" si="50"/>
        <v>17405984</v>
      </c>
    </row>
    <row r="486" spans="1:13" x14ac:dyDescent="0.2">
      <c r="A486" s="19" t="s">
        <v>1180</v>
      </c>
      <c r="B486" s="19" t="s">
        <v>1181</v>
      </c>
      <c r="C486" s="20" t="s">
        <v>1182</v>
      </c>
      <c r="D486" s="19" t="s">
        <v>314</v>
      </c>
      <c r="E486" s="36" t="s">
        <v>40</v>
      </c>
      <c r="F486" s="36"/>
      <c r="G486" s="14">
        <v>1064798</v>
      </c>
      <c r="H486" s="14">
        <f t="shared" si="48"/>
        <v>2129596</v>
      </c>
      <c r="I486" s="15"/>
      <c r="J486" s="15"/>
      <c r="K486" s="15">
        <f t="shared" si="50"/>
        <v>2129596</v>
      </c>
    </row>
    <row r="487" spans="1:13" x14ac:dyDescent="0.2">
      <c r="A487" s="19" t="s">
        <v>1183</v>
      </c>
      <c r="B487" s="19" t="s">
        <v>1184</v>
      </c>
      <c r="C487" s="20" t="s">
        <v>1185</v>
      </c>
      <c r="D487" s="19" t="s">
        <v>314</v>
      </c>
      <c r="E487" s="36" t="s">
        <v>40</v>
      </c>
      <c r="F487" s="36"/>
      <c r="G487" s="14">
        <v>1212733</v>
      </c>
      <c r="H487" s="14">
        <f t="shared" si="48"/>
        <v>2425466</v>
      </c>
      <c r="I487" s="15"/>
      <c r="J487" s="15"/>
      <c r="K487" s="15">
        <f t="shared" si="50"/>
        <v>2425466</v>
      </c>
    </row>
    <row r="488" spans="1:13" ht="22.5" customHeight="1" x14ac:dyDescent="0.2">
      <c r="A488" s="6" t="s">
        <v>1186</v>
      </c>
      <c r="B488" s="6" t="s">
        <v>1187</v>
      </c>
      <c r="C488" s="7" t="s">
        <v>1188</v>
      </c>
      <c r="D488" s="6" t="s">
        <v>1148</v>
      </c>
      <c r="E488" s="35" t="s">
        <v>892</v>
      </c>
      <c r="F488" s="35"/>
      <c r="G488" s="8">
        <v>0</v>
      </c>
      <c r="H488" s="8">
        <f t="shared" si="48"/>
        <v>0</v>
      </c>
      <c r="I488" s="9"/>
      <c r="J488" s="9"/>
      <c r="K488" s="9">
        <f t="shared" si="50"/>
        <v>0</v>
      </c>
      <c r="L488" s="10"/>
      <c r="M488" s="10"/>
    </row>
    <row r="489" spans="1:13" x14ac:dyDescent="0.2">
      <c r="A489" s="11" t="s">
        <v>1189</v>
      </c>
      <c r="B489" s="11" t="s">
        <v>19</v>
      </c>
      <c r="C489" s="12" t="s">
        <v>20</v>
      </c>
      <c r="D489" s="11" t="s">
        <v>21</v>
      </c>
      <c r="E489" s="13" t="s">
        <v>1190</v>
      </c>
      <c r="F489" s="13" t="s">
        <v>1191</v>
      </c>
      <c r="G489" s="14">
        <v>15807.93</v>
      </c>
      <c r="H489" s="14">
        <f t="shared" si="48"/>
        <v>82517.3946</v>
      </c>
      <c r="I489" s="15">
        <f>H489</f>
        <v>82517.3946</v>
      </c>
      <c r="J489" s="15"/>
      <c r="K489" s="15"/>
    </row>
    <row r="490" spans="1:13" x14ac:dyDescent="0.2">
      <c r="A490" s="16" t="s">
        <v>1192</v>
      </c>
      <c r="B490" s="16" t="s">
        <v>25</v>
      </c>
      <c r="C490" s="17" t="s">
        <v>26</v>
      </c>
      <c r="D490" s="16" t="s">
        <v>21</v>
      </c>
      <c r="E490" s="18" t="s">
        <v>1193</v>
      </c>
      <c r="F490" s="18" t="s">
        <v>1194</v>
      </c>
      <c r="G490" s="8">
        <v>0</v>
      </c>
      <c r="H490" s="8">
        <f t="shared" si="48"/>
        <v>0</v>
      </c>
      <c r="I490" s="9"/>
      <c r="J490" s="9">
        <f>H490</f>
        <v>0</v>
      </c>
      <c r="K490" s="9"/>
      <c r="L490" s="10"/>
      <c r="M490" s="10"/>
    </row>
    <row r="491" spans="1:13" ht="33.75" customHeight="1" x14ac:dyDescent="0.2">
      <c r="A491" s="11" t="s">
        <v>1195</v>
      </c>
      <c r="B491" s="11" t="s">
        <v>158</v>
      </c>
      <c r="C491" s="12" t="s">
        <v>159</v>
      </c>
      <c r="D491" s="11" t="s">
        <v>32</v>
      </c>
      <c r="E491" s="13" t="s">
        <v>1196</v>
      </c>
      <c r="F491" s="13" t="s">
        <v>1197</v>
      </c>
      <c r="G491" s="14">
        <v>45270</v>
      </c>
      <c r="H491" s="14">
        <f t="shared" si="48"/>
        <v>35459.991000000002</v>
      </c>
      <c r="I491" s="15"/>
      <c r="J491" s="15">
        <f>H491</f>
        <v>35459.991000000002</v>
      </c>
      <c r="K491" s="15"/>
    </row>
    <row r="492" spans="1:13" ht="22.5" customHeight="1" x14ac:dyDescent="0.2">
      <c r="A492" s="11" t="s">
        <v>1198</v>
      </c>
      <c r="B492" s="11" t="s">
        <v>214</v>
      </c>
      <c r="C492" s="12" t="s">
        <v>215</v>
      </c>
      <c r="D492" s="11" t="s">
        <v>32</v>
      </c>
      <c r="E492" s="13" t="s">
        <v>1199</v>
      </c>
      <c r="F492" s="13" t="s">
        <v>1200</v>
      </c>
      <c r="G492" s="14">
        <v>3200</v>
      </c>
      <c r="H492" s="14">
        <f t="shared" si="48"/>
        <v>1456.32</v>
      </c>
      <c r="I492" s="15"/>
      <c r="J492" s="15">
        <f>H492</f>
        <v>1456.32</v>
      </c>
      <c r="K492" s="15"/>
    </row>
    <row r="493" spans="1:13" ht="22.5" customHeight="1" x14ac:dyDescent="0.2">
      <c r="A493" s="11" t="s">
        <v>1201</v>
      </c>
      <c r="B493" s="11" t="s">
        <v>163</v>
      </c>
      <c r="C493" s="12" t="s">
        <v>164</v>
      </c>
      <c r="D493" s="11" t="s">
        <v>32</v>
      </c>
      <c r="E493" s="13" t="s">
        <v>1202</v>
      </c>
      <c r="F493" s="13" t="s">
        <v>1203</v>
      </c>
      <c r="G493" s="14">
        <v>52621.06</v>
      </c>
      <c r="H493" s="14">
        <f t="shared" si="48"/>
        <v>1262.90544</v>
      </c>
      <c r="I493" s="15"/>
      <c r="J493" s="15">
        <f>H493</f>
        <v>1262.90544</v>
      </c>
      <c r="K493" s="15"/>
    </row>
    <row r="494" spans="1:13" ht="22.5" customHeight="1" x14ac:dyDescent="0.2">
      <c r="A494" s="11" t="s">
        <v>1204</v>
      </c>
      <c r="B494" s="11" t="s">
        <v>1166</v>
      </c>
      <c r="C494" s="12" t="s">
        <v>1167</v>
      </c>
      <c r="D494" s="11" t="s">
        <v>60</v>
      </c>
      <c r="E494" s="13" t="s">
        <v>1205</v>
      </c>
      <c r="F494" s="13" t="s">
        <v>1206</v>
      </c>
      <c r="G494" s="14">
        <v>280000</v>
      </c>
      <c r="H494" s="14">
        <f t="shared" si="48"/>
        <v>35951.999999999993</v>
      </c>
      <c r="I494" s="15"/>
      <c r="J494" s="15"/>
      <c r="K494" s="15">
        <f t="shared" ref="K494:K499" si="51">H494</f>
        <v>35951.999999999993</v>
      </c>
    </row>
    <row r="495" spans="1:13" x14ac:dyDescent="0.2">
      <c r="A495" s="11" t="s">
        <v>1207</v>
      </c>
      <c r="B495" s="11" t="s">
        <v>1171</v>
      </c>
      <c r="C495" s="12" t="s">
        <v>1172</v>
      </c>
      <c r="D495" s="11" t="s">
        <v>43</v>
      </c>
      <c r="E495" s="13" t="s">
        <v>892</v>
      </c>
      <c r="F495" s="13" t="s">
        <v>1208</v>
      </c>
      <c r="G495" s="14">
        <v>10300000</v>
      </c>
      <c r="H495" s="14">
        <f t="shared" si="48"/>
        <v>9270</v>
      </c>
      <c r="I495" s="15"/>
      <c r="J495" s="15"/>
      <c r="K495" s="15">
        <f t="shared" si="51"/>
        <v>9270</v>
      </c>
    </row>
    <row r="496" spans="1:13" x14ac:dyDescent="0.2">
      <c r="A496" s="19" t="s">
        <v>1209</v>
      </c>
      <c r="B496" s="19" t="s">
        <v>1210</v>
      </c>
      <c r="C496" s="20" t="s">
        <v>1211</v>
      </c>
      <c r="D496" s="19" t="s">
        <v>314</v>
      </c>
      <c r="E496" s="36" t="s">
        <v>51</v>
      </c>
      <c r="F496" s="36"/>
      <c r="G496" s="14">
        <v>588490</v>
      </c>
      <c r="H496" s="14">
        <f t="shared" si="48"/>
        <v>1765470</v>
      </c>
      <c r="I496" s="15"/>
      <c r="J496" s="15"/>
      <c r="K496" s="15">
        <f t="shared" si="51"/>
        <v>1765470</v>
      </c>
    </row>
    <row r="497" spans="1:13" ht="12.75" customHeight="1" x14ac:dyDescent="0.2">
      <c r="A497" s="37"/>
      <c r="B497" s="37"/>
      <c r="C497" s="37"/>
      <c r="D497" s="37"/>
      <c r="E497" s="37"/>
      <c r="F497" s="37"/>
      <c r="G497" s="14"/>
      <c r="H497" s="14">
        <f t="shared" si="48"/>
        <v>0</v>
      </c>
      <c r="I497" s="15"/>
      <c r="J497" s="15"/>
      <c r="K497" s="15">
        <f t="shared" si="51"/>
        <v>0</v>
      </c>
    </row>
    <row r="498" spans="1:13" ht="12.75" customHeight="1" x14ac:dyDescent="0.2">
      <c r="A498" s="37" t="s">
        <v>1212</v>
      </c>
      <c r="B498" s="37"/>
      <c r="C498" s="37"/>
      <c r="D498" s="37"/>
      <c r="E498" s="37"/>
      <c r="F498" s="37"/>
      <c r="G498" s="14"/>
      <c r="H498" s="14">
        <f t="shared" si="48"/>
        <v>0</v>
      </c>
      <c r="I498" s="15"/>
      <c r="J498" s="15"/>
      <c r="K498" s="15">
        <f t="shared" si="51"/>
        <v>0</v>
      </c>
    </row>
    <row r="499" spans="1:13" ht="22.5" customHeight="1" x14ac:dyDescent="0.2">
      <c r="A499" s="6" t="s">
        <v>1213</v>
      </c>
      <c r="B499" s="6" t="s">
        <v>1146</v>
      </c>
      <c r="C499" s="7" t="s">
        <v>1147</v>
      </c>
      <c r="D499" s="6" t="s">
        <v>1148</v>
      </c>
      <c r="E499" s="35" t="s">
        <v>1214</v>
      </c>
      <c r="F499" s="35"/>
      <c r="G499" s="8">
        <v>0</v>
      </c>
      <c r="H499" s="8">
        <f t="shared" si="48"/>
        <v>0</v>
      </c>
      <c r="I499" s="9"/>
      <c r="J499" s="9"/>
      <c r="K499" s="9">
        <f t="shared" si="51"/>
        <v>0</v>
      </c>
      <c r="L499" s="10"/>
      <c r="M499" s="10"/>
    </row>
    <row r="500" spans="1:13" x14ac:dyDescent="0.2">
      <c r="A500" s="11" t="s">
        <v>1215</v>
      </c>
      <c r="B500" s="11" t="s">
        <v>19</v>
      </c>
      <c r="C500" s="12" t="s">
        <v>20</v>
      </c>
      <c r="D500" s="11" t="s">
        <v>21</v>
      </c>
      <c r="E500" s="13" t="s">
        <v>1151</v>
      </c>
      <c r="F500" s="13" t="s">
        <v>1216</v>
      </c>
      <c r="G500" s="14">
        <v>15807.93</v>
      </c>
      <c r="H500" s="14">
        <f t="shared" si="48"/>
        <v>1976307.4086</v>
      </c>
      <c r="I500" s="15">
        <f>H500</f>
        <v>1976307.4086</v>
      </c>
      <c r="J500" s="15"/>
      <c r="K500" s="15"/>
    </row>
    <row r="501" spans="1:13" x14ac:dyDescent="0.2">
      <c r="A501" s="16" t="s">
        <v>1217</v>
      </c>
      <c r="B501" s="16" t="s">
        <v>25</v>
      </c>
      <c r="C501" s="17" t="s">
        <v>26</v>
      </c>
      <c r="D501" s="16" t="s">
        <v>21</v>
      </c>
      <c r="E501" s="18" t="s">
        <v>1154</v>
      </c>
      <c r="F501" s="18" t="s">
        <v>1218</v>
      </c>
      <c r="G501" s="8">
        <v>0</v>
      </c>
      <c r="H501" s="8">
        <f t="shared" si="48"/>
        <v>0</v>
      </c>
      <c r="I501" s="9"/>
      <c r="J501" s="9">
        <f>H501</f>
        <v>0</v>
      </c>
      <c r="K501" s="9"/>
      <c r="L501" s="10"/>
      <c r="M501" s="10"/>
    </row>
    <row r="502" spans="1:13" ht="33.75" customHeight="1" x14ac:dyDescent="0.2">
      <c r="A502" s="11" t="s">
        <v>1219</v>
      </c>
      <c r="B502" s="11" t="s">
        <v>158</v>
      </c>
      <c r="C502" s="12" t="s">
        <v>159</v>
      </c>
      <c r="D502" s="11" t="s">
        <v>32</v>
      </c>
      <c r="E502" s="13" t="s">
        <v>1157</v>
      </c>
      <c r="F502" s="13" t="s">
        <v>1220</v>
      </c>
      <c r="G502" s="14">
        <v>45270</v>
      </c>
      <c r="H502" s="14">
        <f t="shared" si="48"/>
        <v>966184.02899999998</v>
      </c>
      <c r="I502" s="15"/>
      <c r="J502" s="15">
        <f>H502</f>
        <v>966184.02899999998</v>
      </c>
      <c r="K502" s="15"/>
    </row>
    <row r="503" spans="1:13" ht="22.5" customHeight="1" x14ac:dyDescent="0.2">
      <c r="A503" s="11" t="s">
        <v>1221</v>
      </c>
      <c r="B503" s="11" t="s">
        <v>214</v>
      </c>
      <c r="C503" s="12" t="s">
        <v>215</v>
      </c>
      <c r="D503" s="11" t="s">
        <v>32</v>
      </c>
      <c r="E503" s="13" t="s">
        <v>1160</v>
      </c>
      <c r="F503" s="13" t="s">
        <v>1222</v>
      </c>
      <c r="G503" s="14">
        <v>3200</v>
      </c>
      <c r="H503" s="14">
        <f t="shared" si="48"/>
        <v>42292.480000000003</v>
      </c>
      <c r="I503" s="15"/>
      <c r="J503" s="15">
        <f>H503</f>
        <v>42292.480000000003</v>
      </c>
      <c r="K503" s="15"/>
    </row>
    <row r="504" spans="1:13" ht="22.5" customHeight="1" x14ac:dyDescent="0.2">
      <c r="A504" s="11" t="s">
        <v>1223</v>
      </c>
      <c r="B504" s="11" t="s">
        <v>163</v>
      </c>
      <c r="C504" s="12" t="s">
        <v>164</v>
      </c>
      <c r="D504" s="11" t="s">
        <v>32</v>
      </c>
      <c r="E504" s="13" t="s">
        <v>1163</v>
      </c>
      <c r="F504" s="13" t="s">
        <v>1224</v>
      </c>
      <c r="G504" s="14">
        <v>52621.06</v>
      </c>
      <c r="H504" s="14">
        <f t="shared" si="48"/>
        <v>54904.814004</v>
      </c>
      <c r="I504" s="15"/>
      <c r="J504" s="15">
        <f>H504</f>
        <v>54904.814004</v>
      </c>
      <c r="K504" s="15"/>
    </row>
    <row r="505" spans="1:13" ht="22.5" customHeight="1" x14ac:dyDescent="0.2">
      <c r="A505" s="11" t="s">
        <v>1225</v>
      </c>
      <c r="B505" s="11" t="s">
        <v>1166</v>
      </c>
      <c r="C505" s="12" t="s">
        <v>1167</v>
      </c>
      <c r="D505" s="11" t="s">
        <v>60</v>
      </c>
      <c r="E505" s="13" t="s">
        <v>1168</v>
      </c>
      <c r="F505" s="13" t="s">
        <v>1226</v>
      </c>
      <c r="G505" s="14">
        <v>280000</v>
      </c>
      <c r="H505" s="14">
        <f t="shared" si="48"/>
        <v>859348</v>
      </c>
      <c r="I505" s="15"/>
      <c r="J505" s="15"/>
      <c r="K505" s="15">
        <f t="shared" ref="K505:K511" si="52">H505</f>
        <v>859348</v>
      </c>
    </row>
    <row r="506" spans="1:13" x14ac:dyDescent="0.2">
      <c r="A506" s="11" t="s">
        <v>1227</v>
      </c>
      <c r="B506" s="11" t="s">
        <v>1171</v>
      </c>
      <c r="C506" s="12" t="s">
        <v>1172</v>
      </c>
      <c r="D506" s="11" t="s">
        <v>43</v>
      </c>
      <c r="E506" s="13" t="s">
        <v>656</v>
      </c>
      <c r="F506" s="13" t="s">
        <v>1228</v>
      </c>
      <c r="G506" s="14">
        <v>10300000</v>
      </c>
      <c r="H506" s="14">
        <f t="shared" si="48"/>
        <v>242050</v>
      </c>
      <c r="I506" s="15"/>
      <c r="J506" s="15"/>
      <c r="K506" s="15">
        <f t="shared" si="52"/>
        <v>242050</v>
      </c>
    </row>
    <row r="507" spans="1:13" x14ac:dyDescent="0.2">
      <c r="A507" s="19" t="s">
        <v>1229</v>
      </c>
      <c r="B507" s="19" t="s">
        <v>1175</v>
      </c>
      <c r="C507" s="20" t="s">
        <v>1176</v>
      </c>
      <c r="D507" s="19" t="s">
        <v>314</v>
      </c>
      <c r="E507" s="36" t="s">
        <v>430</v>
      </c>
      <c r="F507" s="36"/>
      <c r="G507" s="14">
        <v>915315</v>
      </c>
      <c r="H507" s="14">
        <f t="shared" si="48"/>
        <v>20136930</v>
      </c>
      <c r="I507" s="15"/>
      <c r="J507" s="15"/>
      <c r="K507" s="15">
        <f t="shared" si="52"/>
        <v>20136930</v>
      </c>
    </row>
    <row r="508" spans="1:13" x14ac:dyDescent="0.2">
      <c r="A508" s="19" t="s">
        <v>1230</v>
      </c>
      <c r="B508" s="19" t="s">
        <v>1178</v>
      </c>
      <c r="C508" s="20" t="s">
        <v>1179</v>
      </c>
      <c r="D508" s="19" t="s">
        <v>314</v>
      </c>
      <c r="E508" s="36" t="s">
        <v>427</v>
      </c>
      <c r="F508" s="36"/>
      <c r="G508" s="14">
        <v>1087874</v>
      </c>
      <c r="H508" s="14">
        <f t="shared" si="48"/>
        <v>22845354</v>
      </c>
      <c r="I508" s="15"/>
      <c r="J508" s="15"/>
      <c r="K508" s="15">
        <f t="shared" si="52"/>
        <v>22845354</v>
      </c>
    </row>
    <row r="509" spans="1:13" x14ac:dyDescent="0.2">
      <c r="A509" s="19" t="s">
        <v>1231</v>
      </c>
      <c r="B509" s="19" t="s">
        <v>1181</v>
      </c>
      <c r="C509" s="20" t="s">
        <v>1182</v>
      </c>
      <c r="D509" s="19" t="s">
        <v>314</v>
      </c>
      <c r="E509" s="36" t="s">
        <v>13</v>
      </c>
      <c r="F509" s="36"/>
      <c r="G509" s="14">
        <v>1064798</v>
      </c>
      <c r="H509" s="14">
        <f t="shared" si="48"/>
        <v>1064798</v>
      </c>
      <c r="I509" s="15"/>
      <c r="J509" s="15"/>
      <c r="K509" s="15">
        <f t="shared" si="52"/>
        <v>1064798</v>
      </c>
    </row>
    <row r="510" spans="1:13" x14ac:dyDescent="0.2">
      <c r="A510" s="19" t="s">
        <v>1232</v>
      </c>
      <c r="B510" s="19" t="s">
        <v>1184</v>
      </c>
      <c r="C510" s="20" t="s">
        <v>1185</v>
      </c>
      <c r="D510" s="19" t="s">
        <v>314</v>
      </c>
      <c r="E510" s="36" t="s">
        <v>51</v>
      </c>
      <c r="F510" s="36"/>
      <c r="G510" s="14">
        <v>1212733</v>
      </c>
      <c r="H510" s="14">
        <f t="shared" si="48"/>
        <v>3638199</v>
      </c>
      <c r="I510" s="15"/>
      <c r="J510" s="15"/>
      <c r="K510" s="15">
        <f t="shared" si="52"/>
        <v>3638199</v>
      </c>
    </row>
    <row r="511" spans="1:13" ht="22.5" customHeight="1" x14ac:dyDescent="0.2">
      <c r="A511" s="6" t="s">
        <v>1233</v>
      </c>
      <c r="B511" s="6" t="s">
        <v>1187</v>
      </c>
      <c r="C511" s="7" t="s">
        <v>1188</v>
      </c>
      <c r="D511" s="6" t="s">
        <v>1148</v>
      </c>
      <c r="E511" s="35" t="s">
        <v>892</v>
      </c>
      <c r="F511" s="35"/>
      <c r="G511" s="8">
        <v>0</v>
      </c>
      <c r="H511" s="8">
        <f t="shared" si="48"/>
        <v>0</v>
      </c>
      <c r="I511" s="9"/>
      <c r="J511" s="9"/>
      <c r="K511" s="9">
        <f t="shared" si="52"/>
        <v>0</v>
      </c>
      <c r="L511" s="10"/>
      <c r="M511" s="10"/>
    </row>
    <row r="512" spans="1:13" x14ac:dyDescent="0.2">
      <c r="A512" s="11" t="s">
        <v>1234</v>
      </c>
      <c r="B512" s="11" t="s">
        <v>19</v>
      </c>
      <c r="C512" s="12" t="s">
        <v>20</v>
      </c>
      <c r="D512" s="11" t="s">
        <v>21</v>
      </c>
      <c r="E512" s="13" t="s">
        <v>1190</v>
      </c>
      <c r="F512" s="13" t="s">
        <v>1191</v>
      </c>
      <c r="G512" s="14">
        <v>15807.93</v>
      </c>
      <c r="H512" s="14">
        <f t="shared" si="48"/>
        <v>82517.3946</v>
      </c>
      <c r="I512" s="15">
        <f>H512</f>
        <v>82517.3946</v>
      </c>
      <c r="J512" s="15"/>
      <c r="K512" s="15"/>
    </row>
    <row r="513" spans="1:13" x14ac:dyDescent="0.2">
      <c r="A513" s="16" t="s">
        <v>1235</v>
      </c>
      <c r="B513" s="16" t="s">
        <v>25</v>
      </c>
      <c r="C513" s="17" t="s">
        <v>26</v>
      </c>
      <c r="D513" s="16" t="s">
        <v>21</v>
      </c>
      <c r="E513" s="18" t="s">
        <v>1193</v>
      </c>
      <c r="F513" s="18" t="s">
        <v>1194</v>
      </c>
      <c r="G513" s="8">
        <v>0</v>
      </c>
      <c r="H513" s="8">
        <f t="shared" si="48"/>
        <v>0</v>
      </c>
      <c r="I513" s="9"/>
      <c r="J513" s="9">
        <f>H513</f>
        <v>0</v>
      </c>
      <c r="K513" s="9"/>
      <c r="L513" s="10"/>
      <c r="M513" s="10"/>
    </row>
    <row r="514" spans="1:13" ht="33.75" customHeight="1" x14ac:dyDescent="0.2">
      <c r="A514" s="11" t="s">
        <v>1236</v>
      </c>
      <c r="B514" s="11" t="s">
        <v>158</v>
      </c>
      <c r="C514" s="12" t="s">
        <v>159</v>
      </c>
      <c r="D514" s="11" t="s">
        <v>32</v>
      </c>
      <c r="E514" s="13" t="s">
        <v>1196</v>
      </c>
      <c r="F514" s="13" t="s">
        <v>1197</v>
      </c>
      <c r="G514" s="14">
        <v>45270</v>
      </c>
      <c r="H514" s="14">
        <f t="shared" si="48"/>
        <v>35459.991000000002</v>
      </c>
      <c r="I514" s="15"/>
      <c r="J514" s="15">
        <f>H514</f>
        <v>35459.991000000002</v>
      </c>
      <c r="K514" s="15"/>
    </row>
    <row r="515" spans="1:13" ht="22.5" customHeight="1" x14ac:dyDescent="0.2">
      <c r="A515" s="11" t="s">
        <v>1237</v>
      </c>
      <c r="B515" s="11" t="s">
        <v>214</v>
      </c>
      <c r="C515" s="12" t="s">
        <v>215</v>
      </c>
      <c r="D515" s="11" t="s">
        <v>32</v>
      </c>
      <c r="E515" s="13" t="s">
        <v>1199</v>
      </c>
      <c r="F515" s="13" t="s">
        <v>1200</v>
      </c>
      <c r="G515" s="14">
        <v>3200</v>
      </c>
      <c r="H515" s="14">
        <f t="shared" si="48"/>
        <v>1456.32</v>
      </c>
      <c r="I515" s="15"/>
      <c r="J515" s="15">
        <f>H515</f>
        <v>1456.32</v>
      </c>
      <c r="K515" s="15"/>
    </row>
    <row r="516" spans="1:13" ht="22.5" customHeight="1" x14ac:dyDescent="0.2">
      <c r="A516" s="11" t="s">
        <v>1238</v>
      </c>
      <c r="B516" s="11" t="s">
        <v>163</v>
      </c>
      <c r="C516" s="12" t="s">
        <v>164</v>
      </c>
      <c r="D516" s="11" t="s">
        <v>32</v>
      </c>
      <c r="E516" s="13" t="s">
        <v>1202</v>
      </c>
      <c r="F516" s="13" t="s">
        <v>1203</v>
      </c>
      <c r="G516" s="14">
        <v>52621.06</v>
      </c>
      <c r="H516" s="14">
        <f t="shared" si="48"/>
        <v>1262.90544</v>
      </c>
      <c r="I516" s="15"/>
      <c r="J516" s="15">
        <f>H516</f>
        <v>1262.90544</v>
      </c>
      <c r="K516" s="15"/>
    </row>
    <row r="517" spans="1:13" ht="22.5" customHeight="1" x14ac:dyDescent="0.2">
      <c r="A517" s="11" t="s">
        <v>1239</v>
      </c>
      <c r="B517" s="11" t="s">
        <v>1166</v>
      </c>
      <c r="C517" s="12" t="s">
        <v>1167</v>
      </c>
      <c r="D517" s="11" t="s">
        <v>60</v>
      </c>
      <c r="E517" s="13" t="s">
        <v>1205</v>
      </c>
      <c r="F517" s="13" t="s">
        <v>1206</v>
      </c>
      <c r="G517" s="14">
        <v>280000</v>
      </c>
      <c r="H517" s="14">
        <f t="shared" si="48"/>
        <v>35951.999999999993</v>
      </c>
      <c r="I517" s="15"/>
      <c r="J517" s="15"/>
      <c r="K517" s="15">
        <f t="shared" ref="K517:K522" si="53">H517</f>
        <v>35951.999999999993</v>
      </c>
    </row>
    <row r="518" spans="1:13" x14ac:dyDescent="0.2">
      <c r="A518" s="11" t="s">
        <v>1240</v>
      </c>
      <c r="B518" s="11" t="s">
        <v>1171</v>
      </c>
      <c r="C518" s="12" t="s">
        <v>1172</v>
      </c>
      <c r="D518" s="11" t="s">
        <v>43</v>
      </c>
      <c r="E518" s="13" t="s">
        <v>892</v>
      </c>
      <c r="F518" s="13" t="s">
        <v>1208</v>
      </c>
      <c r="G518" s="14">
        <v>10300000</v>
      </c>
      <c r="H518" s="14">
        <f t="shared" si="48"/>
        <v>9270</v>
      </c>
      <c r="I518" s="15"/>
      <c r="J518" s="15"/>
      <c r="K518" s="15">
        <f t="shared" si="53"/>
        <v>9270</v>
      </c>
    </row>
    <row r="519" spans="1:13" x14ac:dyDescent="0.2">
      <c r="A519" s="19" t="s">
        <v>1241</v>
      </c>
      <c r="B519" s="19" t="s">
        <v>1210</v>
      </c>
      <c r="C519" s="20" t="s">
        <v>1211</v>
      </c>
      <c r="D519" s="19" t="s">
        <v>314</v>
      </c>
      <c r="E519" s="36" t="s">
        <v>51</v>
      </c>
      <c r="F519" s="36"/>
      <c r="G519" s="14">
        <v>588490</v>
      </c>
      <c r="H519" s="14">
        <f t="shared" si="48"/>
        <v>1765470</v>
      </c>
      <c r="I519" s="15"/>
      <c r="J519" s="15"/>
      <c r="K519" s="15">
        <f t="shared" si="53"/>
        <v>1765470</v>
      </c>
    </row>
    <row r="520" spans="1:13" ht="12.75" customHeight="1" x14ac:dyDescent="0.2">
      <c r="A520" s="37"/>
      <c r="B520" s="37"/>
      <c r="C520" s="37"/>
      <c r="D520" s="37"/>
      <c r="E520" s="37"/>
      <c r="F520" s="37"/>
      <c r="G520" s="14"/>
      <c r="H520" s="14">
        <f t="shared" si="48"/>
        <v>0</v>
      </c>
      <c r="I520" s="15"/>
      <c r="J520" s="15"/>
      <c r="K520" s="15">
        <f t="shared" si="53"/>
        <v>0</v>
      </c>
    </row>
    <row r="521" spans="1:13" ht="12.75" customHeight="1" x14ac:dyDescent="0.2">
      <c r="A521" s="37" t="s">
        <v>1242</v>
      </c>
      <c r="B521" s="37"/>
      <c r="C521" s="37"/>
      <c r="D521" s="37"/>
      <c r="E521" s="37"/>
      <c r="F521" s="37"/>
      <c r="G521" s="14"/>
      <c r="H521" s="14">
        <f t="shared" si="48"/>
        <v>0</v>
      </c>
      <c r="I521" s="15"/>
      <c r="J521" s="15"/>
      <c r="K521" s="15">
        <f t="shared" si="53"/>
        <v>0</v>
      </c>
    </row>
    <row r="522" spans="1:13" ht="33.75" customHeight="1" x14ac:dyDescent="0.2">
      <c r="A522" s="6" t="s">
        <v>1243</v>
      </c>
      <c r="B522" s="6" t="s">
        <v>1244</v>
      </c>
      <c r="C522" s="7" t="s">
        <v>1245</v>
      </c>
      <c r="D522" s="6" t="s">
        <v>118</v>
      </c>
      <c r="E522" s="35" t="s">
        <v>1246</v>
      </c>
      <c r="F522" s="35"/>
      <c r="G522" s="8">
        <v>0</v>
      </c>
      <c r="H522" s="8">
        <f t="shared" si="48"/>
        <v>0</v>
      </c>
      <c r="I522" s="9"/>
      <c r="J522" s="9"/>
      <c r="K522" s="9">
        <f t="shared" si="53"/>
        <v>0</v>
      </c>
      <c r="L522" s="10"/>
      <c r="M522" s="10"/>
    </row>
    <row r="523" spans="1:13" ht="22.5" customHeight="1" x14ac:dyDescent="0.2">
      <c r="A523" s="11" t="s">
        <v>1247</v>
      </c>
      <c r="B523" s="11" t="s">
        <v>19</v>
      </c>
      <c r="C523" s="12" t="s">
        <v>20</v>
      </c>
      <c r="D523" s="11" t="s">
        <v>21</v>
      </c>
      <c r="E523" s="13" t="s">
        <v>1248</v>
      </c>
      <c r="F523" s="13" t="s">
        <v>1249</v>
      </c>
      <c r="G523" s="14">
        <v>15807.93</v>
      </c>
      <c r="H523" s="14">
        <f t="shared" si="48"/>
        <v>9981732.818786148</v>
      </c>
      <c r="I523" s="15">
        <f>H523</f>
        <v>9981732.818786148</v>
      </c>
      <c r="J523" s="15"/>
      <c r="K523" s="15"/>
    </row>
    <row r="524" spans="1:13" x14ac:dyDescent="0.2">
      <c r="A524" s="16" t="s">
        <v>1250</v>
      </c>
      <c r="B524" s="16" t="s">
        <v>25</v>
      </c>
      <c r="C524" s="17" t="s">
        <v>26</v>
      </c>
      <c r="D524" s="16" t="s">
        <v>21</v>
      </c>
      <c r="E524" s="18" t="s">
        <v>1251</v>
      </c>
      <c r="F524" s="18" t="s">
        <v>1252</v>
      </c>
      <c r="G524" s="8">
        <v>0</v>
      </c>
      <c r="H524" s="8">
        <f t="shared" si="48"/>
        <v>0</v>
      </c>
      <c r="I524" s="9"/>
      <c r="J524" s="9">
        <f t="shared" ref="J524:J531" si="54">H524</f>
        <v>0</v>
      </c>
      <c r="K524" s="9"/>
      <c r="L524" s="10"/>
      <c r="M524" s="10"/>
    </row>
    <row r="525" spans="1:13" x14ac:dyDescent="0.2">
      <c r="A525" s="11" t="s">
        <v>1253</v>
      </c>
      <c r="B525" s="11" t="s">
        <v>193</v>
      </c>
      <c r="C525" s="12" t="s">
        <v>194</v>
      </c>
      <c r="D525" s="11" t="s">
        <v>32</v>
      </c>
      <c r="E525" s="13" t="s">
        <v>195</v>
      </c>
      <c r="F525" s="13" t="s">
        <v>1254</v>
      </c>
      <c r="G525" s="14">
        <v>54800</v>
      </c>
      <c r="H525" s="14">
        <f t="shared" si="48"/>
        <v>10965.16764</v>
      </c>
      <c r="I525" s="15"/>
      <c r="J525" s="15">
        <f t="shared" si="54"/>
        <v>10965.16764</v>
      </c>
      <c r="K525" s="15"/>
    </row>
    <row r="526" spans="1:13" x14ac:dyDescent="0.2">
      <c r="A526" s="11" t="s">
        <v>1255</v>
      </c>
      <c r="B526" s="11" t="s">
        <v>153</v>
      </c>
      <c r="C526" s="12" t="s">
        <v>154</v>
      </c>
      <c r="D526" s="11" t="s">
        <v>32</v>
      </c>
      <c r="E526" s="13" t="s">
        <v>1256</v>
      </c>
      <c r="F526" s="13" t="s">
        <v>1257</v>
      </c>
      <c r="G526" s="14">
        <v>580</v>
      </c>
      <c r="H526" s="14">
        <f t="shared" si="48"/>
        <v>18310.851719999999</v>
      </c>
      <c r="I526" s="15"/>
      <c r="J526" s="15">
        <f t="shared" si="54"/>
        <v>18310.851719999999</v>
      </c>
      <c r="K526" s="15"/>
    </row>
    <row r="527" spans="1:13" ht="33.75" customHeight="1" x14ac:dyDescent="0.2">
      <c r="A527" s="11" t="s">
        <v>1258</v>
      </c>
      <c r="B527" s="11" t="s">
        <v>158</v>
      </c>
      <c r="C527" s="12" t="s">
        <v>159</v>
      </c>
      <c r="D527" s="11" t="s">
        <v>32</v>
      </c>
      <c r="E527" s="13" t="s">
        <v>1259</v>
      </c>
      <c r="F527" s="13" t="s">
        <v>1260</v>
      </c>
      <c r="G527" s="14">
        <v>45270</v>
      </c>
      <c r="H527" s="14">
        <f t="shared" si="48"/>
        <v>1815008.7066299999</v>
      </c>
      <c r="I527" s="15"/>
      <c r="J527" s="15">
        <f t="shared" si="54"/>
        <v>1815008.7066299999</v>
      </c>
      <c r="K527" s="15"/>
    </row>
    <row r="528" spans="1:13" ht="33.75" customHeight="1" x14ac:dyDescent="0.2">
      <c r="A528" s="11" t="s">
        <v>1261</v>
      </c>
      <c r="B528" s="11" t="s">
        <v>204</v>
      </c>
      <c r="C528" s="12" t="s">
        <v>205</v>
      </c>
      <c r="D528" s="11" t="s">
        <v>32</v>
      </c>
      <c r="E528" s="13" t="s">
        <v>1262</v>
      </c>
      <c r="F528" s="13" t="s">
        <v>1263</v>
      </c>
      <c r="G528" s="14">
        <v>102000</v>
      </c>
      <c r="H528" s="14">
        <f t="shared" ref="H528:H591" si="55">IF(ISNUMBER(G528),IF(F528="",E528*G528,F528*G528),0)</f>
        <v>53669.737799999995</v>
      </c>
      <c r="I528" s="15"/>
      <c r="J528" s="15">
        <f t="shared" si="54"/>
        <v>53669.737799999995</v>
      </c>
      <c r="K528" s="15"/>
    </row>
    <row r="529" spans="1:13" x14ac:dyDescent="0.2">
      <c r="A529" s="11" t="s">
        <v>1264</v>
      </c>
      <c r="B529" s="11" t="s">
        <v>209</v>
      </c>
      <c r="C529" s="12" t="s">
        <v>210</v>
      </c>
      <c r="D529" s="11" t="s">
        <v>32</v>
      </c>
      <c r="E529" s="13" t="s">
        <v>1265</v>
      </c>
      <c r="F529" s="13" t="s">
        <v>1266</v>
      </c>
      <c r="G529" s="14">
        <v>873</v>
      </c>
      <c r="H529" s="14">
        <f t="shared" si="55"/>
        <v>847.53275669999994</v>
      </c>
      <c r="I529" s="15"/>
      <c r="J529" s="15">
        <f t="shared" si="54"/>
        <v>847.53275669999994</v>
      </c>
      <c r="K529" s="15"/>
    </row>
    <row r="530" spans="1:13" ht="22.5" customHeight="1" x14ac:dyDescent="0.2">
      <c r="A530" s="11" t="s">
        <v>1267</v>
      </c>
      <c r="B530" s="11" t="s">
        <v>214</v>
      </c>
      <c r="C530" s="12" t="s">
        <v>215</v>
      </c>
      <c r="D530" s="11" t="s">
        <v>32</v>
      </c>
      <c r="E530" s="13" t="s">
        <v>1268</v>
      </c>
      <c r="F530" s="13" t="s">
        <v>1269</v>
      </c>
      <c r="G530" s="14">
        <v>3200</v>
      </c>
      <c r="H530" s="14">
        <f t="shared" si="55"/>
        <v>395089.9008</v>
      </c>
      <c r="I530" s="15"/>
      <c r="J530" s="15">
        <f t="shared" si="54"/>
        <v>395089.9008</v>
      </c>
      <c r="K530" s="15"/>
    </row>
    <row r="531" spans="1:13" ht="22.5" customHeight="1" x14ac:dyDescent="0.2">
      <c r="A531" s="11" t="s">
        <v>1270</v>
      </c>
      <c r="B531" s="11" t="s">
        <v>163</v>
      </c>
      <c r="C531" s="12" t="s">
        <v>164</v>
      </c>
      <c r="D531" s="11" t="s">
        <v>32</v>
      </c>
      <c r="E531" s="13" t="s">
        <v>1271</v>
      </c>
      <c r="F531" s="13" t="s">
        <v>1272</v>
      </c>
      <c r="G531" s="14">
        <v>52621.06</v>
      </c>
      <c r="H531" s="14">
        <f t="shared" si="55"/>
        <v>42116.696663832001</v>
      </c>
      <c r="I531" s="15"/>
      <c r="J531" s="15">
        <f t="shared" si="54"/>
        <v>42116.696663832001</v>
      </c>
      <c r="K531" s="15"/>
    </row>
    <row r="532" spans="1:13" x14ac:dyDescent="0.2">
      <c r="A532" s="11" t="s">
        <v>1273</v>
      </c>
      <c r="B532" s="11" t="s">
        <v>168</v>
      </c>
      <c r="C532" s="12" t="s">
        <v>105</v>
      </c>
      <c r="D532" s="11" t="s">
        <v>60</v>
      </c>
      <c r="E532" s="13" t="s">
        <v>1274</v>
      </c>
      <c r="F532" s="13" t="s">
        <v>1275</v>
      </c>
      <c r="G532" s="14">
        <v>0</v>
      </c>
      <c r="H532" s="14">
        <f t="shared" si="55"/>
        <v>0</v>
      </c>
      <c r="I532" s="15"/>
      <c r="J532" s="15"/>
      <c r="K532" s="15">
        <f t="shared" ref="K532:K541" si="56">H532</f>
        <v>0</v>
      </c>
    </row>
    <row r="533" spans="1:13" x14ac:dyDescent="0.2">
      <c r="A533" s="11" t="s">
        <v>1276</v>
      </c>
      <c r="B533" s="11" t="s">
        <v>718</v>
      </c>
      <c r="C533" s="12" t="s">
        <v>719</v>
      </c>
      <c r="D533" s="11" t="s">
        <v>60</v>
      </c>
      <c r="E533" s="13" t="s">
        <v>227</v>
      </c>
      <c r="F533" s="13" t="s">
        <v>1277</v>
      </c>
      <c r="G533" s="14">
        <v>490000</v>
      </c>
      <c r="H533" s="14">
        <f t="shared" si="55"/>
        <v>36858111.149999999</v>
      </c>
      <c r="I533" s="15"/>
      <c r="J533" s="15"/>
      <c r="K533" s="15">
        <f t="shared" si="56"/>
        <v>36858111.149999999</v>
      </c>
    </row>
    <row r="534" spans="1:13" x14ac:dyDescent="0.2">
      <c r="A534" s="11" t="s">
        <v>1278</v>
      </c>
      <c r="B534" s="11" t="s">
        <v>544</v>
      </c>
      <c r="C534" s="12" t="s">
        <v>545</v>
      </c>
      <c r="D534" s="11" t="s">
        <v>43</v>
      </c>
      <c r="E534" s="13" t="s">
        <v>1279</v>
      </c>
      <c r="F534" s="13" t="s">
        <v>1280</v>
      </c>
      <c r="G534" s="14">
        <v>13000000</v>
      </c>
      <c r="H534" s="14">
        <f t="shared" si="55"/>
        <v>867075.29999999993</v>
      </c>
      <c r="I534" s="15"/>
      <c r="J534" s="15"/>
      <c r="K534" s="15">
        <f t="shared" si="56"/>
        <v>867075.29999999993</v>
      </c>
    </row>
    <row r="535" spans="1:13" x14ac:dyDescent="0.2">
      <c r="A535" s="11" t="s">
        <v>1281</v>
      </c>
      <c r="B535" s="11" t="s">
        <v>230</v>
      </c>
      <c r="C535" s="12" t="s">
        <v>231</v>
      </c>
      <c r="D535" s="11" t="s">
        <v>43</v>
      </c>
      <c r="E535" s="13" t="s">
        <v>549</v>
      </c>
      <c r="F535" s="13" t="s">
        <v>1282</v>
      </c>
      <c r="G535" s="14">
        <v>8200000</v>
      </c>
      <c r="H535" s="14">
        <f t="shared" si="55"/>
        <v>309923.83799999999</v>
      </c>
      <c r="I535" s="15"/>
      <c r="J535" s="15"/>
      <c r="K535" s="15">
        <f t="shared" si="56"/>
        <v>309923.83799999999</v>
      </c>
    </row>
    <row r="536" spans="1:13" ht="22.5" customHeight="1" x14ac:dyDescent="0.2">
      <c r="A536" s="11" t="s">
        <v>1283</v>
      </c>
      <c r="B536" s="11" t="s">
        <v>235</v>
      </c>
      <c r="C536" s="12" t="s">
        <v>236</v>
      </c>
      <c r="D536" s="11" t="s">
        <v>43</v>
      </c>
      <c r="E536" s="13" t="s">
        <v>1284</v>
      </c>
      <c r="F536" s="13" t="s">
        <v>1285</v>
      </c>
      <c r="G536" s="14">
        <v>650000</v>
      </c>
      <c r="H536" s="14">
        <f t="shared" si="55"/>
        <v>19750.048500000001</v>
      </c>
      <c r="I536" s="15"/>
      <c r="J536" s="15"/>
      <c r="K536" s="15">
        <f t="shared" si="56"/>
        <v>19750.048500000001</v>
      </c>
    </row>
    <row r="537" spans="1:13" x14ac:dyDescent="0.2">
      <c r="A537" s="11" t="s">
        <v>1286</v>
      </c>
      <c r="B537" s="11" t="s">
        <v>245</v>
      </c>
      <c r="C537" s="12" t="s">
        <v>246</v>
      </c>
      <c r="D537" s="11" t="s">
        <v>43</v>
      </c>
      <c r="E537" s="13" t="s">
        <v>169</v>
      </c>
      <c r="F537" s="13" t="s">
        <v>1287</v>
      </c>
      <c r="G537" s="14">
        <v>10300000</v>
      </c>
      <c r="H537" s="14">
        <f t="shared" si="55"/>
        <v>1526645.4</v>
      </c>
      <c r="I537" s="15"/>
      <c r="J537" s="15"/>
      <c r="K537" s="15">
        <f t="shared" si="56"/>
        <v>1526645.4</v>
      </c>
    </row>
    <row r="538" spans="1:13" ht="33.75" customHeight="1" x14ac:dyDescent="0.2">
      <c r="A538" s="11" t="s">
        <v>1288</v>
      </c>
      <c r="B538" s="11" t="s">
        <v>556</v>
      </c>
      <c r="C538" s="12" t="s">
        <v>557</v>
      </c>
      <c r="D538" s="11" t="s">
        <v>60</v>
      </c>
      <c r="E538" s="13" t="s">
        <v>275</v>
      </c>
      <c r="F538" s="13" t="s">
        <v>1289</v>
      </c>
      <c r="G538" s="14">
        <v>2000000</v>
      </c>
      <c r="H538" s="14">
        <f t="shared" si="55"/>
        <v>207505.2</v>
      </c>
      <c r="I538" s="15"/>
      <c r="J538" s="15"/>
      <c r="K538" s="15">
        <f t="shared" si="56"/>
        <v>207505.2</v>
      </c>
    </row>
    <row r="539" spans="1:13" ht="33.75" customHeight="1" x14ac:dyDescent="0.2">
      <c r="A539" s="11" t="s">
        <v>1290</v>
      </c>
      <c r="B539" s="11" t="s">
        <v>253</v>
      </c>
      <c r="C539" s="12" t="s">
        <v>254</v>
      </c>
      <c r="D539" s="11" t="s">
        <v>60</v>
      </c>
      <c r="E539" s="13" t="s">
        <v>1291</v>
      </c>
      <c r="F539" s="13" t="s">
        <v>1292</v>
      </c>
      <c r="G539" s="14">
        <v>2000000</v>
      </c>
      <c r="H539" s="14">
        <f t="shared" si="55"/>
        <v>2297379</v>
      </c>
      <c r="I539" s="15"/>
      <c r="J539" s="15"/>
      <c r="K539" s="15">
        <f t="shared" si="56"/>
        <v>2297379</v>
      </c>
    </row>
    <row r="540" spans="1:13" x14ac:dyDescent="0.2">
      <c r="A540" s="11" t="s">
        <v>1293</v>
      </c>
      <c r="B540" s="11" t="s">
        <v>563</v>
      </c>
      <c r="C540" s="12" t="s">
        <v>564</v>
      </c>
      <c r="D540" s="11" t="s">
        <v>179</v>
      </c>
      <c r="E540" s="13" t="s">
        <v>1143</v>
      </c>
      <c r="F540" s="13" t="s">
        <v>1294</v>
      </c>
      <c r="G540" s="14">
        <v>25000</v>
      </c>
      <c r="H540" s="14">
        <f t="shared" si="55"/>
        <v>1371016.5</v>
      </c>
      <c r="I540" s="15"/>
      <c r="J540" s="15"/>
      <c r="K540" s="15">
        <f t="shared" si="56"/>
        <v>1371016.5</v>
      </c>
    </row>
    <row r="541" spans="1:13" ht="33.75" customHeight="1" x14ac:dyDescent="0.2">
      <c r="A541" s="6" t="s">
        <v>1295</v>
      </c>
      <c r="B541" s="6" t="s">
        <v>1296</v>
      </c>
      <c r="C541" s="7" t="s">
        <v>1297</v>
      </c>
      <c r="D541" s="6" t="s">
        <v>60</v>
      </c>
      <c r="E541" s="35" t="s">
        <v>1298</v>
      </c>
      <c r="F541" s="35"/>
      <c r="G541" s="8">
        <v>0</v>
      </c>
      <c r="H541" s="8">
        <f t="shared" si="55"/>
        <v>0</v>
      </c>
      <c r="I541" s="9"/>
      <c r="J541" s="9"/>
      <c r="K541" s="9">
        <f t="shared" si="56"/>
        <v>0</v>
      </c>
      <c r="L541" s="10"/>
      <c r="M541" s="10"/>
    </row>
    <row r="542" spans="1:13" x14ac:dyDescent="0.2">
      <c r="A542" s="11" t="s">
        <v>1299</v>
      </c>
      <c r="B542" s="11" t="s">
        <v>19</v>
      </c>
      <c r="C542" s="12" t="s">
        <v>20</v>
      </c>
      <c r="D542" s="11" t="s">
        <v>21</v>
      </c>
      <c r="E542" s="13" t="s">
        <v>1300</v>
      </c>
      <c r="F542" s="13" t="s">
        <v>1301</v>
      </c>
      <c r="G542" s="14">
        <v>15807.93</v>
      </c>
      <c r="H542" s="14">
        <f t="shared" si="55"/>
        <v>5253488.8967249999</v>
      </c>
      <c r="I542" s="15">
        <f>H542</f>
        <v>5253488.8967249999</v>
      </c>
      <c r="J542" s="15"/>
      <c r="K542" s="15"/>
    </row>
    <row r="543" spans="1:13" x14ac:dyDescent="0.2">
      <c r="A543" s="16" t="s">
        <v>1302</v>
      </c>
      <c r="B543" s="16" t="s">
        <v>25</v>
      </c>
      <c r="C543" s="17" t="s">
        <v>26</v>
      </c>
      <c r="D543" s="16" t="s">
        <v>21</v>
      </c>
      <c r="E543" s="18" t="s">
        <v>165</v>
      </c>
      <c r="F543" s="18" t="s">
        <v>1303</v>
      </c>
      <c r="G543" s="8">
        <v>0</v>
      </c>
      <c r="H543" s="8">
        <f t="shared" si="55"/>
        <v>0</v>
      </c>
      <c r="I543" s="9"/>
      <c r="J543" s="9">
        <f>H543</f>
        <v>0</v>
      </c>
      <c r="K543" s="9"/>
      <c r="L543" s="10"/>
      <c r="M543" s="10"/>
    </row>
    <row r="544" spans="1:13" x14ac:dyDescent="0.2">
      <c r="A544" s="11" t="s">
        <v>1304</v>
      </c>
      <c r="B544" s="11" t="s">
        <v>1305</v>
      </c>
      <c r="C544" s="12" t="s">
        <v>1306</v>
      </c>
      <c r="D544" s="11" t="s">
        <v>32</v>
      </c>
      <c r="E544" s="13" t="s">
        <v>169</v>
      </c>
      <c r="F544" s="13" t="s">
        <v>1307</v>
      </c>
      <c r="G544" s="14">
        <v>661.24</v>
      </c>
      <c r="H544" s="14">
        <f t="shared" si="55"/>
        <v>12041.180400000001</v>
      </c>
      <c r="I544" s="15"/>
      <c r="J544" s="15">
        <f>H544</f>
        <v>12041.180400000001</v>
      </c>
      <c r="K544" s="15"/>
    </row>
    <row r="545" spans="1:13" ht="33.75" customHeight="1" x14ac:dyDescent="0.2">
      <c r="A545" s="11" t="s">
        <v>1308</v>
      </c>
      <c r="B545" s="11" t="s">
        <v>204</v>
      </c>
      <c r="C545" s="12" t="s">
        <v>205</v>
      </c>
      <c r="D545" s="11" t="s">
        <v>32</v>
      </c>
      <c r="E545" s="13" t="s">
        <v>546</v>
      </c>
      <c r="F545" s="13" t="s">
        <v>1309</v>
      </c>
      <c r="G545" s="14">
        <v>102000</v>
      </c>
      <c r="H545" s="14">
        <f t="shared" si="55"/>
        <v>742968</v>
      </c>
      <c r="I545" s="15"/>
      <c r="J545" s="15">
        <f>H545</f>
        <v>742968</v>
      </c>
      <c r="K545" s="15"/>
    </row>
    <row r="546" spans="1:13" ht="22.5" customHeight="1" x14ac:dyDescent="0.2">
      <c r="A546" s="11" t="s">
        <v>1310</v>
      </c>
      <c r="B546" s="11" t="s">
        <v>1311</v>
      </c>
      <c r="C546" s="12" t="s">
        <v>164</v>
      </c>
      <c r="D546" s="11" t="s">
        <v>32</v>
      </c>
      <c r="E546" s="13" t="s">
        <v>656</v>
      </c>
      <c r="F546" s="13" t="s">
        <v>1312</v>
      </c>
      <c r="G546" s="14">
        <v>52621.06</v>
      </c>
      <c r="H546" s="14">
        <f t="shared" si="55"/>
        <v>239557.37565</v>
      </c>
      <c r="I546" s="15"/>
      <c r="J546" s="15">
        <f>H546</f>
        <v>239557.37565</v>
      </c>
      <c r="K546" s="15"/>
    </row>
    <row r="547" spans="1:13" x14ac:dyDescent="0.2">
      <c r="A547" s="11" t="s">
        <v>1313</v>
      </c>
      <c r="B547" s="11" t="s">
        <v>168</v>
      </c>
      <c r="C547" s="12" t="s">
        <v>105</v>
      </c>
      <c r="D547" s="11" t="s">
        <v>60</v>
      </c>
      <c r="E547" s="13" t="s">
        <v>1314</v>
      </c>
      <c r="F547" s="13" t="s">
        <v>1315</v>
      </c>
      <c r="G547" s="14">
        <v>0</v>
      </c>
      <c r="H547" s="14">
        <f t="shared" si="55"/>
        <v>0</v>
      </c>
      <c r="I547" s="15"/>
      <c r="J547" s="15"/>
      <c r="K547" s="15">
        <f>H547</f>
        <v>0</v>
      </c>
    </row>
    <row r="548" spans="1:13" x14ac:dyDescent="0.2">
      <c r="A548" s="11" t="s">
        <v>1316</v>
      </c>
      <c r="B548" s="11" t="s">
        <v>1317</v>
      </c>
      <c r="C548" s="12" t="s">
        <v>1318</v>
      </c>
      <c r="D548" s="11" t="s">
        <v>320</v>
      </c>
      <c r="E548" s="13" t="s">
        <v>636</v>
      </c>
      <c r="F548" s="13" t="s">
        <v>1319</v>
      </c>
      <c r="G548" s="14">
        <v>950</v>
      </c>
      <c r="H548" s="14">
        <f t="shared" si="55"/>
        <v>1773198.75</v>
      </c>
      <c r="I548" s="15"/>
      <c r="J548" s="15"/>
      <c r="K548" s="15">
        <f>H548</f>
        <v>1773198.75</v>
      </c>
    </row>
    <row r="549" spans="1:13" ht="22.5" customHeight="1" x14ac:dyDescent="0.2">
      <c r="A549" s="11" t="s">
        <v>1320</v>
      </c>
      <c r="B549" s="11" t="s">
        <v>1321</v>
      </c>
      <c r="C549" s="12" t="s">
        <v>1322</v>
      </c>
      <c r="D549" s="11" t="s">
        <v>60</v>
      </c>
      <c r="E549" s="13" t="s">
        <v>1323</v>
      </c>
      <c r="F549" s="13" t="s">
        <v>1324</v>
      </c>
      <c r="G549" s="14">
        <v>460000</v>
      </c>
      <c r="H549" s="14">
        <f t="shared" si="55"/>
        <v>42301830</v>
      </c>
      <c r="I549" s="15"/>
      <c r="J549" s="15"/>
      <c r="K549" s="15">
        <f>H549</f>
        <v>42301830</v>
      </c>
    </row>
    <row r="550" spans="1:13" ht="33.75" customHeight="1" x14ac:dyDescent="0.2">
      <c r="A550" s="6" t="s">
        <v>1325</v>
      </c>
      <c r="B550" s="6" t="s">
        <v>1326</v>
      </c>
      <c r="C550" s="7" t="s">
        <v>1327</v>
      </c>
      <c r="D550" s="6" t="s">
        <v>605</v>
      </c>
      <c r="E550" s="35" t="s">
        <v>1328</v>
      </c>
      <c r="F550" s="35"/>
      <c r="G550" s="8">
        <v>0</v>
      </c>
      <c r="H550" s="8">
        <f t="shared" si="55"/>
        <v>0</v>
      </c>
      <c r="I550" s="9"/>
      <c r="J550" s="9"/>
      <c r="K550" s="9">
        <f>H550</f>
        <v>0</v>
      </c>
      <c r="L550" s="10"/>
      <c r="M550" s="10"/>
    </row>
    <row r="551" spans="1:13" x14ac:dyDescent="0.2">
      <c r="A551" s="11" t="s">
        <v>1329</v>
      </c>
      <c r="B551" s="11" t="s">
        <v>19</v>
      </c>
      <c r="C551" s="12" t="s">
        <v>20</v>
      </c>
      <c r="D551" s="11" t="s">
        <v>21</v>
      </c>
      <c r="E551" s="13" t="s">
        <v>1330</v>
      </c>
      <c r="F551" s="13" t="s">
        <v>1331</v>
      </c>
      <c r="G551" s="14">
        <v>15807.93</v>
      </c>
      <c r="H551" s="14">
        <f t="shared" si="55"/>
        <v>2329284.6535612498</v>
      </c>
      <c r="I551" s="15">
        <f>H551</f>
        <v>2329284.6535612498</v>
      </c>
      <c r="J551" s="15"/>
      <c r="K551" s="15"/>
    </row>
    <row r="552" spans="1:13" x14ac:dyDescent="0.2">
      <c r="A552" s="16" t="s">
        <v>1332</v>
      </c>
      <c r="B552" s="16" t="s">
        <v>25</v>
      </c>
      <c r="C552" s="17" t="s">
        <v>26</v>
      </c>
      <c r="D552" s="16" t="s">
        <v>21</v>
      </c>
      <c r="E552" s="18" t="s">
        <v>1333</v>
      </c>
      <c r="F552" s="18" t="s">
        <v>1334</v>
      </c>
      <c r="G552" s="8">
        <v>0</v>
      </c>
      <c r="H552" s="8">
        <f t="shared" si="55"/>
        <v>0</v>
      </c>
      <c r="I552" s="9"/>
      <c r="J552" s="9">
        <f>H552</f>
        <v>0</v>
      </c>
      <c r="K552" s="9"/>
      <c r="L552" s="10"/>
      <c r="M552" s="10"/>
    </row>
    <row r="553" spans="1:13" x14ac:dyDescent="0.2">
      <c r="A553" s="11" t="s">
        <v>1335</v>
      </c>
      <c r="B553" s="11" t="s">
        <v>1305</v>
      </c>
      <c r="C553" s="12" t="s">
        <v>1306</v>
      </c>
      <c r="D553" s="11" t="s">
        <v>32</v>
      </c>
      <c r="E553" s="13" t="s">
        <v>1336</v>
      </c>
      <c r="F553" s="13" t="s">
        <v>1337</v>
      </c>
      <c r="G553" s="14">
        <v>661.24</v>
      </c>
      <c r="H553" s="14">
        <f t="shared" si="55"/>
        <v>3061.8718199999998</v>
      </c>
      <c r="I553" s="15"/>
      <c r="J553" s="15">
        <f>H553</f>
        <v>3061.8718199999998</v>
      </c>
      <c r="K553" s="15"/>
    </row>
    <row r="554" spans="1:13" ht="33.75" customHeight="1" x14ac:dyDescent="0.2">
      <c r="A554" s="11" t="s">
        <v>1338</v>
      </c>
      <c r="B554" s="11" t="s">
        <v>204</v>
      </c>
      <c r="C554" s="12" t="s">
        <v>205</v>
      </c>
      <c r="D554" s="11" t="s">
        <v>32</v>
      </c>
      <c r="E554" s="13" t="s">
        <v>1291</v>
      </c>
      <c r="F554" s="13" t="s">
        <v>1339</v>
      </c>
      <c r="G554" s="14">
        <v>102000</v>
      </c>
      <c r="H554" s="14">
        <f t="shared" si="55"/>
        <v>290508.75</v>
      </c>
      <c r="I554" s="15"/>
      <c r="J554" s="15">
        <f>H554</f>
        <v>290508.75</v>
      </c>
      <c r="K554" s="15"/>
    </row>
    <row r="555" spans="1:13" ht="22.5" customHeight="1" x14ac:dyDescent="0.2">
      <c r="A555" s="11" t="s">
        <v>1340</v>
      </c>
      <c r="B555" s="11" t="s">
        <v>1311</v>
      </c>
      <c r="C555" s="12" t="s">
        <v>164</v>
      </c>
      <c r="D555" s="11" t="s">
        <v>32</v>
      </c>
      <c r="E555" s="13" t="s">
        <v>1341</v>
      </c>
      <c r="F555" s="13" t="s">
        <v>1342</v>
      </c>
      <c r="G555" s="14">
        <v>52621.06</v>
      </c>
      <c r="H555" s="14">
        <f t="shared" si="55"/>
        <v>91856.637862499992</v>
      </c>
      <c r="I555" s="15"/>
      <c r="J555" s="15">
        <f>H555</f>
        <v>91856.637862499992</v>
      </c>
      <c r="K555" s="15"/>
    </row>
    <row r="556" spans="1:13" x14ac:dyDescent="0.2">
      <c r="A556" s="11" t="s">
        <v>1343</v>
      </c>
      <c r="B556" s="11" t="s">
        <v>168</v>
      </c>
      <c r="C556" s="12" t="s">
        <v>105</v>
      </c>
      <c r="D556" s="11" t="s">
        <v>60</v>
      </c>
      <c r="E556" s="13" t="s">
        <v>1344</v>
      </c>
      <c r="F556" s="13" t="s">
        <v>1345</v>
      </c>
      <c r="G556" s="14">
        <v>0</v>
      </c>
      <c r="H556" s="14">
        <f t="shared" si="55"/>
        <v>0</v>
      </c>
      <c r="I556" s="15"/>
      <c r="J556" s="15"/>
      <c r="K556" s="15">
        <f>H556</f>
        <v>0</v>
      </c>
    </row>
    <row r="557" spans="1:13" x14ac:dyDescent="0.2">
      <c r="A557" s="11" t="s">
        <v>1346</v>
      </c>
      <c r="B557" s="11" t="s">
        <v>1317</v>
      </c>
      <c r="C557" s="12" t="s">
        <v>1318</v>
      </c>
      <c r="D557" s="11" t="s">
        <v>320</v>
      </c>
      <c r="E557" s="13" t="s">
        <v>1347</v>
      </c>
      <c r="F557" s="13" t="s">
        <v>1348</v>
      </c>
      <c r="G557" s="14">
        <v>950</v>
      </c>
      <c r="H557" s="14">
        <f t="shared" si="55"/>
        <v>715671.33750000002</v>
      </c>
      <c r="I557" s="15"/>
      <c r="J557" s="15"/>
      <c r="K557" s="15">
        <f>H557</f>
        <v>715671.33750000002</v>
      </c>
    </row>
    <row r="558" spans="1:13" ht="22.5" customHeight="1" x14ac:dyDescent="0.2">
      <c r="A558" s="11" t="s">
        <v>1349</v>
      </c>
      <c r="B558" s="11" t="s">
        <v>1321</v>
      </c>
      <c r="C558" s="12" t="s">
        <v>1322</v>
      </c>
      <c r="D558" s="11" t="s">
        <v>60</v>
      </c>
      <c r="E558" s="13" t="s">
        <v>1350</v>
      </c>
      <c r="F558" s="13" t="s">
        <v>1351</v>
      </c>
      <c r="G558" s="14">
        <v>460000</v>
      </c>
      <c r="H558" s="14">
        <f t="shared" si="55"/>
        <v>17074050</v>
      </c>
      <c r="I558" s="15"/>
      <c r="J558" s="15"/>
      <c r="K558" s="15">
        <f>H558</f>
        <v>17074050</v>
      </c>
    </row>
    <row r="559" spans="1:13" ht="33.75" customHeight="1" x14ac:dyDescent="0.2">
      <c r="A559" s="6" t="s">
        <v>1352</v>
      </c>
      <c r="B559" s="6" t="s">
        <v>1296</v>
      </c>
      <c r="C559" s="7" t="s">
        <v>1297</v>
      </c>
      <c r="D559" s="6" t="s">
        <v>60</v>
      </c>
      <c r="E559" s="35" t="s">
        <v>1202</v>
      </c>
      <c r="F559" s="35"/>
      <c r="G559" s="8">
        <v>0</v>
      </c>
      <c r="H559" s="8">
        <f t="shared" si="55"/>
        <v>0</v>
      </c>
      <c r="I559" s="9"/>
      <c r="J559" s="9"/>
      <c r="K559" s="9">
        <f>H559</f>
        <v>0</v>
      </c>
      <c r="L559" s="10"/>
      <c r="M559" s="10"/>
    </row>
    <row r="560" spans="1:13" x14ac:dyDescent="0.2">
      <c r="A560" s="11" t="s">
        <v>1353</v>
      </c>
      <c r="B560" s="11" t="s">
        <v>19</v>
      </c>
      <c r="C560" s="12" t="s">
        <v>20</v>
      </c>
      <c r="D560" s="11" t="s">
        <v>21</v>
      </c>
      <c r="E560" s="13" t="s">
        <v>1300</v>
      </c>
      <c r="F560" s="13" t="s">
        <v>1354</v>
      </c>
      <c r="G560" s="14">
        <v>15807.93</v>
      </c>
      <c r="H560" s="14">
        <f t="shared" si="55"/>
        <v>46159.155599999998</v>
      </c>
      <c r="I560" s="15">
        <f>H560</f>
        <v>46159.155599999998</v>
      </c>
      <c r="J560" s="15"/>
      <c r="K560" s="15"/>
    </row>
    <row r="561" spans="1:13" x14ac:dyDescent="0.2">
      <c r="A561" s="16" t="s">
        <v>1355</v>
      </c>
      <c r="B561" s="16" t="s">
        <v>25</v>
      </c>
      <c r="C561" s="17" t="s">
        <v>26</v>
      </c>
      <c r="D561" s="16" t="s">
        <v>21</v>
      </c>
      <c r="E561" s="18" t="s">
        <v>165</v>
      </c>
      <c r="F561" s="18" t="s">
        <v>1356</v>
      </c>
      <c r="G561" s="8">
        <v>0</v>
      </c>
      <c r="H561" s="8">
        <f t="shared" si="55"/>
        <v>0</v>
      </c>
      <c r="I561" s="9"/>
      <c r="J561" s="9">
        <f>H561</f>
        <v>0</v>
      </c>
      <c r="K561" s="9"/>
      <c r="L561" s="10"/>
      <c r="M561" s="10"/>
    </row>
    <row r="562" spans="1:13" x14ac:dyDescent="0.2">
      <c r="A562" s="11" t="s">
        <v>1357</v>
      </c>
      <c r="B562" s="11" t="s">
        <v>1305</v>
      </c>
      <c r="C562" s="12" t="s">
        <v>1306</v>
      </c>
      <c r="D562" s="11" t="s">
        <v>32</v>
      </c>
      <c r="E562" s="13" t="s">
        <v>169</v>
      </c>
      <c r="F562" s="13" t="s">
        <v>1358</v>
      </c>
      <c r="G562" s="14">
        <v>661.24</v>
      </c>
      <c r="H562" s="14">
        <f t="shared" si="55"/>
        <v>105.7984</v>
      </c>
      <c r="I562" s="15"/>
      <c r="J562" s="15">
        <f>H562</f>
        <v>105.7984</v>
      </c>
      <c r="K562" s="15"/>
    </row>
    <row r="563" spans="1:13" ht="33.75" customHeight="1" x14ac:dyDescent="0.2">
      <c r="A563" s="11" t="s">
        <v>1359</v>
      </c>
      <c r="B563" s="11" t="s">
        <v>204</v>
      </c>
      <c r="C563" s="12" t="s">
        <v>205</v>
      </c>
      <c r="D563" s="11" t="s">
        <v>32</v>
      </c>
      <c r="E563" s="13" t="s">
        <v>546</v>
      </c>
      <c r="F563" s="13" t="s">
        <v>1360</v>
      </c>
      <c r="G563" s="14">
        <v>102000</v>
      </c>
      <c r="H563" s="14">
        <f t="shared" si="55"/>
        <v>6528</v>
      </c>
      <c r="I563" s="15"/>
      <c r="J563" s="15">
        <f>H563</f>
        <v>6528</v>
      </c>
      <c r="K563" s="15"/>
    </row>
    <row r="564" spans="1:13" ht="22.5" customHeight="1" x14ac:dyDescent="0.2">
      <c r="A564" s="11" t="s">
        <v>1361</v>
      </c>
      <c r="B564" s="11" t="s">
        <v>1311</v>
      </c>
      <c r="C564" s="12" t="s">
        <v>164</v>
      </c>
      <c r="D564" s="11" t="s">
        <v>32</v>
      </c>
      <c r="E564" s="13" t="s">
        <v>656</v>
      </c>
      <c r="F564" s="13" t="s">
        <v>255</v>
      </c>
      <c r="G564" s="14">
        <v>52621.06</v>
      </c>
      <c r="H564" s="14">
        <f t="shared" si="55"/>
        <v>2104.8424</v>
      </c>
      <c r="I564" s="15"/>
      <c r="J564" s="15">
        <f>H564</f>
        <v>2104.8424</v>
      </c>
      <c r="K564" s="15"/>
    </row>
    <row r="565" spans="1:13" x14ac:dyDescent="0.2">
      <c r="A565" s="11" t="s">
        <v>1362</v>
      </c>
      <c r="B565" s="11" t="s">
        <v>168</v>
      </c>
      <c r="C565" s="12" t="s">
        <v>105</v>
      </c>
      <c r="D565" s="11" t="s">
        <v>60</v>
      </c>
      <c r="E565" s="13" t="s">
        <v>1314</v>
      </c>
      <c r="F565" s="13" t="s">
        <v>1363</v>
      </c>
      <c r="G565" s="14">
        <v>0</v>
      </c>
      <c r="H565" s="14">
        <f t="shared" si="55"/>
        <v>0</v>
      </c>
      <c r="I565" s="15"/>
      <c r="J565" s="15"/>
      <c r="K565" s="15">
        <f>H565</f>
        <v>0</v>
      </c>
    </row>
    <row r="566" spans="1:13" x14ac:dyDescent="0.2">
      <c r="A566" s="11" t="s">
        <v>1364</v>
      </c>
      <c r="B566" s="11" t="s">
        <v>1317</v>
      </c>
      <c r="C566" s="12" t="s">
        <v>1318</v>
      </c>
      <c r="D566" s="11" t="s">
        <v>320</v>
      </c>
      <c r="E566" s="13" t="s">
        <v>636</v>
      </c>
      <c r="F566" s="13" t="s">
        <v>1365</v>
      </c>
      <c r="G566" s="14">
        <v>950</v>
      </c>
      <c r="H566" s="14">
        <f t="shared" si="55"/>
        <v>15579.999999999998</v>
      </c>
      <c r="I566" s="15"/>
      <c r="J566" s="15"/>
      <c r="K566" s="15">
        <f>H566</f>
        <v>15579.999999999998</v>
      </c>
    </row>
    <row r="567" spans="1:13" ht="22.5" customHeight="1" x14ac:dyDescent="0.2">
      <c r="A567" s="11" t="s">
        <v>1366</v>
      </c>
      <c r="B567" s="11" t="s">
        <v>1367</v>
      </c>
      <c r="C567" s="12" t="s">
        <v>1368</v>
      </c>
      <c r="D567" s="11" t="s">
        <v>60</v>
      </c>
      <c r="E567" s="13" t="s">
        <v>1323</v>
      </c>
      <c r="F567" s="13" t="s">
        <v>1369</v>
      </c>
      <c r="G567" s="14">
        <v>460000</v>
      </c>
      <c r="H567" s="14">
        <f t="shared" si="55"/>
        <v>371680</v>
      </c>
      <c r="I567" s="15"/>
      <c r="J567" s="15"/>
      <c r="K567" s="15">
        <f>H567</f>
        <v>371680</v>
      </c>
    </row>
    <row r="568" spans="1:13" ht="22.5" customHeight="1" x14ac:dyDescent="0.2">
      <c r="A568" s="6" t="s">
        <v>1370</v>
      </c>
      <c r="B568" s="6" t="s">
        <v>1371</v>
      </c>
      <c r="C568" s="7" t="s">
        <v>1372</v>
      </c>
      <c r="D568" s="6" t="s">
        <v>60</v>
      </c>
      <c r="E568" s="35" t="s">
        <v>1373</v>
      </c>
      <c r="F568" s="35"/>
      <c r="G568" s="8">
        <v>0</v>
      </c>
      <c r="H568" s="8">
        <f t="shared" si="55"/>
        <v>0</v>
      </c>
      <c r="I568" s="9"/>
      <c r="J568" s="9"/>
      <c r="K568" s="9">
        <f>H568</f>
        <v>0</v>
      </c>
      <c r="L568" s="10"/>
      <c r="M568" s="10"/>
    </row>
    <row r="569" spans="1:13" x14ac:dyDescent="0.2">
      <c r="A569" s="11" t="s">
        <v>1374</v>
      </c>
      <c r="B569" s="11" t="s">
        <v>19</v>
      </c>
      <c r="C569" s="12" t="s">
        <v>20</v>
      </c>
      <c r="D569" s="11" t="s">
        <v>21</v>
      </c>
      <c r="E569" s="13" t="s">
        <v>1375</v>
      </c>
      <c r="F569" s="13" t="s">
        <v>1376</v>
      </c>
      <c r="G569" s="14">
        <v>15807.93</v>
      </c>
      <c r="H569" s="14">
        <f t="shared" si="55"/>
        <v>189426.42519000001</v>
      </c>
      <c r="I569" s="15">
        <f>H569</f>
        <v>189426.42519000001</v>
      </c>
      <c r="J569" s="15"/>
      <c r="K569" s="15"/>
    </row>
    <row r="570" spans="1:13" x14ac:dyDescent="0.2">
      <c r="A570" s="16" t="s">
        <v>1377</v>
      </c>
      <c r="B570" s="16" t="s">
        <v>25</v>
      </c>
      <c r="C570" s="17" t="s">
        <v>26</v>
      </c>
      <c r="D570" s="16" t="s">
        <v>21</v>
      </c>
      <c r="E570" s="18" t="s">
        <v>1378</v>
      </c>
      <c r="F570" s="18" t="s">
        <v>1379</v>
      </c>
      <c r="G570" s="8">
        <v>0</v>
      </c>
      <c r="H570" s="8">
        <f t="shared" si="55"/>
        <v>0</v>
      </c>
      <c r="I570" s="9"/>
      <c r="J570" s="9">
        <f>H570</f>
        <v>0</v>
      </c>
      <c r="K570" s="9"/>
      <c r="L570" s="10"/>
      <c r="M570" s="10"/>
    </row>
    <row r="571" spans="1:13" ht="33.75" customHeight="1" x14ac:dyDescent="0.2">
      <c r="A571" s="11" t="s">
        <v>1380</v>
      </c>
      <c r="B571" s="11" t="s">
        <v>158</v>
      </c>
      <c r="C571" s="12" t="s">
        <v>159</v>
      </c>
      <c r="D571" s="11" t="s">
        <v>32</v>
      </c>
      <c r="E571" s="13" t="s">
        <v>1378</v>
      </c>
      <c r="F571" s="13" t="s">
        <v>1379</v>
      </c>
      <c r="G571" s="14">
        <v>45270</v>
      </c>
      <c r="H571" s="14">
        <f t="shared" si="55"/>
        <v>41648.400000000001</v>
      </c>
      <c r="I571" s="15"/>
      <c r="J571" s="15">
        <f>H571</f>
        <v>41648.400000000001</v>
      </c>
      <c r="K571" s="15"/>
    </row>
    <row r="572" spans="1:13" x14ac:dyDescent="0.2">
      <c r="A572" s="11" t="s">
        <v>1381</v>
      </c>
      <c r="B572" s="11" t="s">
        <v>168</v>
      </c>
      <c r="C572" s="12" t="s">
        <v>105</v>
      </c>
      <c r="D572" s="11" t="s">
        <v>60</v>
      </c>
      <c r="E572" s="13" t="s">
        <v>1149</v>
      </c>
      <c r="F572" s="13" t="s">
        <v>1382</v>
      </c>
      <c r="G572" s="14">
        <v>0</v>
      </c>
      <c r="H572" s="14">
        <f t="shared" si="55"/>
        <v>0</v>
      </c>
      <c r="I572" s="15"/>
      <c r="J572" s="15"/>
      <c r="K572" s="15">
        <f>H572</f>
        <v>0</v>
      </c>
    </row>
    <row r="573" spans="1:13" ht="22.5" customHeight="1" x14ac:dyDescent="0.2">
      <c r="A573" s="11" t="s">
        <v>1383</v>
      </c>
      <c r="B573" s="11" t="s">
        <v>1384</v>
      </c>
      <c r="C573" s="12" t="s">
        <v>1385</v>
      </c>
      <c r="D573" s="11" t="s">
        <v>1386</v>
      </c>
      <c r="E573" s="13" t="s">
        <v>1387</v>
      </c>
      <c r="F573" s="13" t="s">
        <v>1388</v>
      </c>
      <c r="G573" s="14">
        <v>580000</v>
      </c>
      <c r="H573" s="14">
        <f t="shared" si="55"/>
        <v>526930</v>
      </c>
      <c r="I573" s="15"/>
      <c r="J573" s="15"/>
      <c r="K573" s="15">
        <f>H573</f>
        <v>526930</v>
      </c>
    </row>
    <row r="574" spans="1:13" ht="22.5" customHeight="1" x14ac:dyDescent="0.2">
      <c r="A574" s="11" t="s">
        <v>1389</v>
      </c>
      <c r="B574" s="11" t="s">
        <v>1390</v>
      </c>
      <c r="C574" s="12" t="s">
        <v>1391</v>
      </c>
      <c r="D574" s="11" t="s">
        <v>60</v>
      </c>
      <c r="E574" s="13" t="s">
        <v>1392</v>
      </c>
      <c r="F574" s="13" t="s">
        <v>1393</v>
      </c>
      <c r="G574" s="14">
        <v>280000</v>
      </c>
      <c r="H574" s="14">
        <f t="shared" si="55"/>
        <v>150696</v>
      </c>
      <c r="I574" s="15"/>
      <c r="J574" s="15"/>
      <c r="K574" s="15">
        <f>H574</f>
        <v>150696</v>
      </c>
    </row>
    <row r="575" spans="1:13" ht="33.75" customHeight="1" x14ac:dyDescent="0.2">
      <c r="A575" s="11" t="s">
        <v>1394</v>
      </c>
      <c r="B575" s="11" t="s">
        <v>1395</v>
      </c>
      <c r="C575" s="12" t="s">
        <v>1396</v>
      </c>
      <c r="D575" s="11" t="s">
        <v>60</v>
      </c>
      <c r="E575" s="13" t="s">
        <v>1397</v>
      </c>
      <c r="F575" s="13" t="s">
        <v>1398</v>
      </c>
      <c r="G575" s="14">
        <v>2000000</v>
      </c>
      <c r="H575" s="14">
        <f t="shared" si="55"/>
        <v>2300</v>
      </c>
      <c r="I575" s="15"/>
      <c r="J575" s="15"/>
      <c r="K575" s="15">
        <f>H575</f>
        <v>2300</v>
      </c>
    </row>
    <row r="576" spans="1:13" ht="22.5" customHeight="1" x14ac:dyDescent="0.2">
      <c r="A576" s="6" t="s">
        <v>1399</v>
      </c>
      <c r="B576" s="6" t="s">
        <v>1400</v>
      </c>
      <c r="C576" s="7" t="s">
        <v>1401</v>
      </c>
      <c r="D576" s="6" t="s">
        <v>60</v>
      </c>
      <c r="E576" s="35" t="s">
        <v>1402</v>
      </c>
      <c r="F576" s="35"/>
      <c r="G576" s="8">
        <v>0</v>
      </c>
      <c r="H576" s="8">
        <f t="shared" si="55"/>
        <v>0</v>
      </c>
      <c r="I576" s="9"/>
      <c r="J576" s="9"/>
      <c r="K576" s="9">
        <f>H576</f>
        <v>0</v>
      </c>
      <c r="L576" s="10"/>
      <c r="M576" s="10"/>
    </row>
    <row r="577" spans="1:17" x14ac:dyDescent="0.2">
      <c r="A577" s="11" t="s">
        <v>1403</v>
      </c>
      <c r="B577" s="11" t="s">
        <v>19</v>
      </c>
      <c r="C577" s="12" t="s">
        <v>20</v>
      </c>
      <c r="D577" s="11" t="s">
        <v>21</v>
      </c>
      <c r="E577" s="13" t="s">
        <v>1404</v>
      </c>
      <c r="F577" s="13" t="s">
        <v>1405</v>
      </c>
      <c r="G577" s="14">
        <v>15807.93</v>
      </c>
      <c r="H577" s="14">
        <f t="shared" si="55"/>
        <v>1592016.6302999998</v>
      </c>
      <c r="I577" s="15">
        <f>H577</f>
        <v>1592016.6302999998</v>
      </c>
      <c r="J577" s="15"/>
      <c r="K577" s="15"/>
    </row>
    <row r="578" spans="1:17" x14ac:dyDescent="0.2">
      <c r="A578" s="16" t="s">
        <v>1406</v>
      </c>
      <c r="B578" s="16" t="s">
        <v>25</v>
      </c>
      <c r="C578" s="17" t="s">
        <v>26</v>
      </c>
      <c r="D578" s="16" t="s">
        <v>21</v>
      </c>
      <c r="E578" s="18" t="s">
        <v>1378</v>
      </c>
      <c r="F578" s="18" t="s">
        <v>1407</v>
      </c>
      <c r="G578" s="8">
        <v>0</v>
      </c>
      <c r="H578" s="8">
        <f t="shared" si="55"/>
        <v>0</v>
      </c>
      <c r="I578" s="9"/>
      <c r="J578" s="9">
        <f>H578</f>
        <v>0</v>
      </c>
      <c r="K578" s="9"/>
      <c r="L578" s="10"/>
      <c r="M578" s="10"/>
    </row>
    <row r="579" spans="1:17" ht="33.75" customHeight="1" x14ac:dyDescent="0.2">
      <c r="A579" s="11" t="s">
        <v>1408</v>
      </c>
      <c r="B579" s="11" t="s">
        <v>158</v>
      </c>
      <c r="C579" s="12" t="s">
        <v>159</v>
      </c>
      <c r="D579" s="11" t="s">
        <v>32</v>
      </c>
      <c r="E579" s="13" t="s">
        <v>1378</v>
      </c>
      <c r="F579" s="13" t="s">
        <v>1407</v>
      </c>
      <c r="G579" s="14">
        <v>45270</v>
      </c>
      <c r="H579" s="14">
        <f t="shared" si="55"/>
        <v>337714.2</v>
      </c>
      <c r="I579" s="15"/>
      <c r="J579" s="15">
        <f>H579</f>
        <v>337714.2</v>
      </c>
      <c r="K579" s="15"/>
    </row>
    <row r="580" spans="1:17" x14ac:dyDescent="0.2">
      <c r="A580" s="11" t="s">
        <v>1409</v>
      </c>
      <c r="B580" s="11" t="s">
        <v>168</v>
      </c>
      <c r="C580" s="12" t="s">
        <v>105</v>
      </c>
      <c r="D580" s="11" t="s">
        <v>60</v>
      </c>
      <c r="E580" s="13" t="s">
        <v>1149</v>
      </c>
      <c r="F580" s="13" t="s">
        <v>1410</v>
      </c>
      <c r="G580" s="14">
        <v>0</v>
      </c>
      <c r="H580" s="14">
        <f t="shared" si="55"/>
        <v>0</v>
      </c>
      <c r="I580" s="15"/>
      <c r="J580" s="15"/>
      <c r="K580" s="15">
        <f>H580</f>
        <v>0</v>
      </c>
    </row>
    <row r="581" spans="1:17" ht="22.5" customHeight="1" x14ac:dyDescent="0.2">
      <c r="A581" s="11" t="s">
        <v>1411</v>
      </c>
      <c r="B581" s="11" t="s">
        <v>1384</v>
      </c>
      <c r="C581" s="12" t="s">
        <v>1385</v>
      </c>
      <c r="D581" s="11" t="s">
        <v>1386</v>
      </c>
      <c r="E581" s="13" t="s">
        <v>1412</v>
      </c>
      <c r="F581" s="13" t="s">
        <v>1413</v>
      </c>
      <c r="G581" s="14">
        <v>580000</v>
      </c>
      <c r="H581" s="14">
        <f t="shared" si="55"/>
        <v>4261898</v>
      </c>
      <c r="I581" s="15"/>
      <c r="J581" s="15"/>
      <c r="K581" s="15">
        <f>H581</f>
        <v>4261898</v>
      </c>
    </row>
    <row r="582" spans="1:17" ht="22.5" customHeight="1" x14ac:dyDescent="0.2">
      <c r="A582" s="11" t="s">
        <v>1414</v>
      </c>
      <c r="B582" s="11" t="s">
        <v>1390</v>
      </c>
      <c r="C582" s="12" t="s">
        <v>1391</v>
      </c>
      <c r="D582" s="11" t="s">
        <v>60</v>
      </c>
      <c r="E582" s="13" t="s">
        <v>1415</v>
      </c>
      <c r="F582" s="13" t="s">
        <v>1416</v>
      </c>
      <c r="G582" s="14">
        <v>280000</v>
      </c>
      <c r="H582" s="14">
        <f t="shared" si="55"/>
        <v>1253280</v>
      </c>
      <c r="I582" s="15"/>
      <c r="J582" s="15"/>
      <c r="K582" s="15">
        <f>H582</f>
        <v>1253280</v>
      </c>
    </row>
    <row r="583" spans="1:17" ht="33.75" customHeight="1" x14ac:dyDescent="0.2">
      <c r="A583" s="11" t="s">
        <v>1417</v>
      </c>
      <c r="B583" s="11" t="s">
        <v>1395</v>
      </c>
      <c r="C583" s="12" t="s">
        <v>1396</v>
      </c>
      <c r="D583" s="11" t="s">
        <v>60</v>
      </c>
      <c r="E583" s="13" t="s">
        <v>1397</v>
      </c>
      <c r="F583" s="13" t="s">
        <v>1418</v>
      </c>
      <c r="G583" s="14">
        <v>2000000</v>
      </c>
      <c r="H583" s="14">
        <f t="shared" si="55"/>
        <v>18650</v>
      </c>
      <c r="I583" s="15"/>
      <c r="J583" s="15"/>
      <c r="K583" s="15">
        <f>H583</f>
        <v>18650</v>
      </c>
    </row>
    <row r="584" spans="1:17" ht="22.5" customHeight="1" x14ac:dyDescent="0.2">
      <c r="A584" s="6" t="s">
        <v>1419</v>
      </c>
      <c r="B584" s="6" t="s">
        <v>1420</v>
      </c>
      <c r="C584" s="7" t="s">
        <v>1421</v>
      </c>
      <c r="D584" s="6" t="s">
        <v>1422</v>
      </c>
      <c r="E584" s="35" t="s">
        <v>1423</v>
      </c>
      <c r="F584" s="35"/>
      <c r="G584" s="8">
        <v>0</v>
      </c>
      <c r="H584" s="8">
        <f t="shared" si="55"/>
        <v>0</v>
      </c>
      <c r="I584" s="9"/>
      <c r="J584" s="9"/>
      <c r="K584" s="9">
        <f>H584</f>
        <v>0</v>
      </c>
      <c r="L584" s="10"/>
      <c r="M584" s="10"/>
    </row>
    <row r="585" spans="1:17" x14ac:dyDescent="0.2">
      <c r="A585" s="11" t="s">
        <v>1424</v>
      </c>
      <c r="B585" s="11" t="s">
        <v>19</v>
      </c>
      <c r="C585" s="12" t="s">
        <v>20</v>
      </c>
      <c r="D585" s="11" t="s">
        <v>21</v>
      </c>
      <c r="E585" s="13" t="s">
        <v>1425</v>
      </c>
      <c r="F585" s="13" t="s">
        <v>1426</v>
      </c>
      <c r="G585" s="14">
        <v>15807.93</v>
      </c>
      <c r="H585" s="14">
        <f t="shared" si="55"/>
        <v>1571861.5195500001</v>
      </c>
      <c r="I585" s="15">
        <f>H585</f>
        <v>1571861.5195500001</v>
      </c>
      <c r="J585" s="15"/>
      <c r="K585" s="15"/>
    </row>
    <row r="586" spans="1:17" x14ac:dyDescent="0.2">
      <c r="A586" s="16" t="s">
        <v>1427</v>
      </c>
      <c r="B586" s="16" t="s">
        <v>25</v>
      </c>
      <c r="C586" s="17" t="s">
        <v>26</v>
      </c>
      <c r="D586" s="16" t="s">
        <v>21</v>
      </c>
      <c r="E586" s="18" t="s">
        <v>981</v>
      </c>
      <c r="F586" s="18" t="s">
        <v>1428</v>
      </c>
      <c r="G586" s="8">
        <v>0</v>
      </c>
      <c r="H586" s="8">
        <f t="shared" si="55"/>
        <v>0</v>
      </c>
      <c r="I586" s="9"/>
      <c r="J586" s="9">
        <f>H586</f>
        <v>0</v>
      </c>
      <c r="K586" s="9"/>
      <c r="L586" s="10"/>
      <c r="M586" s="10"/>
    </row>
    <row r="587" spans="1:17" ht="22.5" customHeight="1" x14ac:dyDescent="0.2">
      <c r="A587" s="11" t="s">
        <v>1429</v>
      </c>
      <c r="B587" s="11" t="s">
        <v>1430</v>
      </c>
      <c r="C587" s="12" t="s">
        <v>1431</v>
      </c>
      <c r="D587" s="11" t="s">
        <v>32</v>
      </c>
      <c r="E587" s="13" t="s">
        <v>1432</v>
      </c>
      <c r="F587" s="13" t="s">
        <v>1433</v>
      </c>
      <c r="G587" s="14">
        <v>2570.2800000000002</v>
      </c>
      <c r="H587" s="14">
        <f t="shared" si="55"/>
        <v>12144.573</v>
      </c>
      <c r="I587" s="15"/>
      <c r="J587" s="15">
        <f>H587</f>
        <v>12144.573</v>
      </c>
      <c r="K587" s="15"/>
    </row>
    <row r="588" spans="1:17" ht="22.5" customHeight="1" x14ac:dyDescent="0.2">
      <c r="A588" s="11" t="s">
        <v>1434</v>
      </c>
      <c r="B588" s="11" t="s">
        <v>163</v>
      </c>
      <c r="C588" s="12" t="s">
        <v>164</v>
      </c>
      <c r="D588" s="11" t="s">
        <v>32</v>
      </c>
      <c r="E588" s="13" t="s">
        <v>981</v>
      </c>
      <c r="F588" s="13" t="s">
        <v>1428</v>
      </c>
      <c r="G588" s="14">
        <v>52621.06</v>
      </c>
      <c r="H588" s="14">
        <f t="shared" si="55"/>
        <v>171281.55029999997</v>
      </c>
      <c r="I588" s="15"/>
      <c r="J588" s="15">
        <f>H588</f>
        <v>171281.55029999997</v>
      </c>
      <c r="K588" s="15"/>
    </row>
    <row r="589" spans="1:17" x14ac:dyDescent="0.2">
      <c r="A589" s="19" t="s">
        <v>1435</v>
      </c>
      <c r="B589" s="19" t="s">
        <v>1436</v>
      </c>
      <c r="C589" s="20" t="s">
        <v>1437</v>
      </c>
      <c r="D589" s="19" t="s">
        <v>179</v>
      </c>
      <c r="E589" s="36" t="s">
        <v>1438</v>
      </c>
      <c r="F589" s="36"/>
      <c r="G589" s="14">
        <v>14730</v>
      </c>
      <c r="H589" s="14">
        <f t="shared" si="55"/>
        <v>5258610</v>
      </c>
      <c r="I589" s="15"/>
      <c r="J589" s="15"/>
      <c r="K589" s="15">
        <f>H589</f>
        <v>5258610</v>
      </c>
    </row>
    <row r="590" spans="1:17" x14ac:dyDescent="0.2">
      <c r="H590" s="15">
        <f t="shared" ref="H590:Q590" si="57">SUM(H16:H589)</f>
        <v>1487748767.9936264</v>
      </c>
      <c r="I590" s="15">
        <f t="shared" si="57"/>
        <v>238735601.24840128</v>
      </c>
      <c r="J590" s="15">
        <f t="shared" si="57"/>
        <v>192861566.70852545</v>
      </c>
      <c r="K590" s="15">
        <f t="shared" si="57"/>
        <v>1056151600.0366997</v>
      </c>
      <c r="L590" s="15">
        <f t="shared" si="57"/>
        <v>0</v>
      </c>
      <c r="M590" s="15">
        <f t="shared" si="57"/>
        <v>0</v>
      </c>
      <c r="N590" s="15">
        <f t="shared" si="57"/>
        <v>0</v>
      </c>
      <c r="O590" s="15">
        <f t="shared" si="57"/>
        <v>0</v>
      </c>
      <c r="P590" s="15">
        <f t="shared" si="57"/>
        <v>0</v>
      </c>
      <c r="Q590" s="15">
        <f t="shared" si="57"/>
        <v>0</v>
      </c>
    </row>
    <row r="592" spans="1:17" x14ac:dyDescent="0.2">
      <c r="A592" s="21"/>
      <c r="B592" s="21"/>
      <c r="C592" s="22" t="s">
        <v>1439</v>
      </c>
      <c r="D592" s="23"/>
      <c r="E592" s="21"/>
      <c r="F592" s="21"/>
      <c r="G592" s="21"/>
      <c r="H592" s="24">
        <f>I590</f>
        <v>238735601.24840128</v>
      </c>
    </row>
    <row r="593" spans="1:8" x14ac:dyDescent="0.2">
      <c r="A593" s="21"/>
      <c r="B593" s="21"/>
      <c r="C593" s="25" t="s">
        <v>1440</v>
      </c>
      <c r="D593" s="26"/>
      <c r="E593" s="21"/>
      <c r="F593" s="21"/>
      <c r="G593" s="21"/>
      <c r="H593" s="24">
        <f>J590</f>
        <v>192861566.70852545</v>
      </c>
    </row>
    <row r="594" spans="1:8" x14ac:dyDescent="0.2">
      <c r="A594" s="21"/>
      <c r="B594" s="21"/>
      <c r="C594" s="27" t="s">
        <v>1441</v>
      </c>
      <c r="D594" s="28"/>
      <c r="E594" s="21"/>
      <c r="F594" s="21"/>
      <c r="G594" s="21"/>
      <c r="H594" s="24">
        <f>K590</f>
        <v>1056151600.0366997</v>
      </c>
    </row>
    <row r="595" spans="1:8" x14ac:dyDescent="0.2">
      <c r="A595" s="21"/>
      <c r="B595" s="21"/>
      <c r="C595" s="27" t="s">
        <v>1442</v>
      </c>
      <c r="D595" s="29">
        <v>0.03</v>
      </c>
      <c r="E595" s="21"/>
      <c r="F595" s="21"/>
      <c r="G595" s="21"/>
      <c r="H595" s="24">
        <f>H594*D595</f>
        <v>31684548.001100987</v>
      </c>
    </row>
    <row r="596" spans="1:8" x14ac:dyDescent="0.2">
      <c r="A596" s="21"/>
      <c r="B596" s="21"/>
      <c r="C596" s="25" t="s">
        <v>1443</v>
      </c>
      <c r="D596" s="26"/>
      <c r="E596" s="21"/>
      <c r="F596" s="21"/>
      <c r="G596" s="21"/>
      <c r="H596" s="24">
        <f>L590</f>
        <v>0</v>
      </c>
    </row>
    <row r="597" spans="1:8" x14ac:dyDescent="0.2">
      <c r="A597" s="21"/>
      <c r="B597" s="21"/>
      <c r="C597" s="22" t="s">
        <v>1444</v>
      </c>
      <c r="D597" s="30">
        <v>0.02</v>
      </c>
      <c r="E597" s="21"/>
      <c r="F597" s="21"/>
      <c r="G597" s="21"/>
      <c r="H597" s="24">
        <f>H596*D597</f>
        <v>0</v>
      </c>
    </row>
    <row r="598" spans="1:8" x14ac:dyDescent="0.2">
      <c r="A598" s="21"/>
      <c r="B598" s="21"/>
      <c r="C598" s="22" t="s">
        <v>1445</v>
      </c>
      <c r="D598" s="23"/>
      <c r="E598" s="21"/>
      <c r="F598" s="21"/>
      <c r="G598" s="21"/>
      <c r="H598" s="24">
        <f>M590</f>
        <v>0</v>
      </c>
    </row>
    <row r="599" spans="1:8" x14ac:dyDescent="0.2">
      <c r="A599" s="21"/>
      <c r="B599" s="21"/>
      <c r="C599" s="22" t="s">
        <v>1446</v>
      </c>
      <c r="D599" s="30">
        <v>0.02</v>
      </c>
      <c r="E599" s="21"/>
      <c r="F599" s="21"/>
      <c r="G599" s="21"/>
      <c r="H599" s="24">
        <f>H598*D599</f>
        <v>0</v>
      </c>
    </row>
    <row r="600" spans="1:8" x14ac:dyDescent="0.2">
      <c r="A600" s="21"/>
      <c r="B600" s="21"/>
      <c r="C600" s="22" t="s">
        <v>1447</v>
      </c>
      <c r="D600" s="23"/>
      <c r="E600" s="21"/>
      <c r="F600" s="21"/>
      <c r="G600" s="21"/>
      <c r="H600" s="24">
        <f>SUM(H592:H599)</f>
        <v>1519433315.9947274</v>
      </c>
    </row>
    <row r="601" spans="1:8" x14ac:dyDescent="0.2">
      <c r="A601" s="21"/>
      <c r="B601" s="21"/>
      <c r="C601" s="22" t="s">
        <v>1448</v>
      </c>
      <c r="D601" s="30">
        <v>0.19</v>
      </c>
      <c r="E601" s="21"/>
      <c r="F601" s="21"/>
      <c r="G601" s="21"/>
      <c r="H601" s="24">
        <f>(H600-H599-H598)*D601</f>
        <v>288692330.03899819</v>
      </c>
    </row>
    <row r="602" spans="1:8" x14ac:dyDescent="0.2">
      <c r="A602" s="21"/>
      <c r="B602" s="21"/>
      <c r="C602" s="22" t="s">
        <v>1449</v>
      </c>
      <c r="D602" s="30">
        <v>3.2000000000000002E-3</v>
      </c>
      <c r="E602" s="21"/>
      <c r="F602" s="21"/>
      <c r="G602" s="21"/>
      <c r="H602" s="24">
        <f>(H601+H600)*D602</f>
        <v>5786002.0673079221</v>
      </c>
    </row>
    <row r="603" spans="1:8" x14ac:dyDescent="0.2">
      <c r="A603" s="21"/>
      <c r="B603" s="21"/>
      <c r="C603" s="22" t="s">
        <v>1450</v>
      </c>
      <c r="D603" s="23"/>
      <c r="E603" s="21"/>
      <c r="F603" s="21"/>
      <c r="G603" s="21"/>
      <c r="H603" s="24">
        <f>H602+H601+H600</f>
        <v>1813911648.1010334</v>
      </c>
    </row>
    <row r="604" spans="1:8" x14ac:dyDescent="0.2">
      <c r="A604" s="21"/>
      <c r="B604" s="21"/>
      <c r="C604" s="22" t="s">
        <v>1451</v>
      </c>
      <c r="D604" s="30">
        <v>0.12</v>
      </c>
      <c r="E604" s="21"/>
      <c r="F604" s="21"/>
      <c r="G604" s="21"/>
      <c r="H604" s="24">
        <f>H603*(1+D604)</f>
        <v>2031581045.8731577</v>
      </c>
    </row>
  </sheetData>
  <mergeCells count="144">
    <mergeCell ref="A6:F6"/>
    <mergeCell ref="E484:F484"/>
    <mergeCell ref="E21:F21"/>
    <mergeCell ref="A1:F1"/>
    <mergeCell ref="E396:F396"/>
    <mergeCell ref="E283:F283"/>
    <mergeCell ref="E164:F164"/>
    <mergeCell ref="E519:F519"/>
    <mergeCell ref="E96:F96"/>
    <mergeCell ref="A498:F498"/>
    <mergeCell ref="E456:F456"/>
    <mergeCell ref="E412:F412"/>
    <mergeCell ref="A246:F246"/>
    <mergeCell ref="E24:F24"/>
    <mergeCell ref="A497:F497"/>
    <mergeCell ref="E322:F322"/>
    <mergeCell ref="A356:F356"/>
    <mergeCell ref="E42:F42"/>
    <mergeCell ref="E282:F282"/>
    <mergeCell ref="A113:F113"/>
    <mergeCell ref="E206:F206"/>
    <mergeCell ref="A247:F247"/>
    <mergeCell ref="A185:F185"/>
    <mergeCell ref="A14:F14"/>
    <mergeCell ref="E221:F221"/>
    <mergeCell ref="E230:F230"/>
    <mergeCell ref="E28:F28"/>
    <mergeCell ref="E589:F589"/>
    <mergeCell ref="E476:F476"/>
    <mergeCell ref="E485:F485"/>
    <mergeCell ref="E508:F508"/>
    <mergeCell ref="A166:F166"/>
    <mergeCell ref="A521:F521"/>
    <mergeCell ref="A49:F49"/>
    <mergeCell ref="E395:F395"/>
    <mergeCell ref="E355:F355"/>
    <mergeCell ref="A94:F94"/>
    <mergeCell ref="E182:F182"/>
    <mergeCell ref="E60:F60"/>
    <mergeCell ref="E167:F167"/>
    <mergeCell ref="A432:F432"/>
    <mergeCell ref="E319:F319"/>
    <mergeCell ref="E281:F281"/>
    <mergeCell ref="A130:F130"/>
    <mergeCell ref="A148:F148"/>
    <mergeCell ref="A284:F284"/>
    <mergeCell ref="E507:F507"/>
    <mergeCell ref="A520:F520"/>
    <mergeCell ref="E429:F429"/>
    <mergeCell ref="E321:F321"/>
    <mergeCell ref="A8:F8"/>
    <mergeCell ref="E541:F541"/>
    <mergeCell ref="A131:F131"/>
    <mergeCell ref="A324:F324"/>
    <mergeCell ref="E320:F320"/>
    <mergeCell ref="A165:F165"/>
    <mergeCell ref="E354:F354"/>
    <mergeCell ref="E114:F114"/>
    <mergeCell ref="E304:F304"/>
    <mergeCell ref="C11:C12"/>
    <mergeCell ref="E11:F11"/>
    <mergeCell ref="E184:F184"/>
    <mergeCell ref="A398:F398"/>
    <mergeCell ref="E394:F394"/>
    <mergeCell ref="A11:A12"/>
    <mergeCell ref="E487:F487"/>
    <mergeCell ref="E351:F351"/>
    <mergeCell ref="E427:F427"/>
    <mergeCell ref="E150:F150"/>
    <mergeCell ref="E132:F132"/>
    <mergeCell ref="E39:F39"/>
    <mergeCell ref="E430:F430"/>
    <mergeCell ref="E337:F337"/>
    <mergeCell ref="E44:F44"/>
    <mergeCell ref="E318:F318"/>
    <mergeCell ref="E352:F352"/>
    <mergeCell ref="A149:F149"/>
    <mergeCell ref="D11:D12"/>
    <mergeCell ref="A285:F285"/>
    <mergeCell ref="A2:F2"/>
    <mergeCell ref="E280:F280"/>
    <mergeCell ref="E147:F147"/>
    <mergeCell ref="E550:F550"/>
    <mergeCell ref="A433:F433"/>
    <mergeCell ref="E509:F509"/>
    <mergeCell ref="E496:F496"/>
    <mergeCell ref="A112:F112"/>
    <mergeCell ref="E266:F266"/>
    <mergeCell ref="E431:F431"/>
    <mergeCell ref="A475:F475"/>
    <mergeCell ref="A9:F9"/>
    <mergeCell ref="E511:F511"/>
    <mergeCell ref="E110:F110"/>
    <mergeCell ref="E237:F237"/>
    <mergeCell ref="E473:F473"/>
    <mergeCell ref="E488:F488"/>
    <mergeCell ref="E187:F187"/>
    <mergeCell ref="E16:F16"/>
    <mergeCell ref="E380:F380"/>
    <mergeCell ref="E472:F472"/>
    <mergeCell ref="E510:F510"/>
    <mergeCell ref="E220:F220"/>
    <mergeCell ref="E584:F584"/>
    <mergeCell ref="E471:F471"/>
    <mergeCell ref="A323:F323"/>
    <mergeCell ref="E559:F559"/>
    <mergeCell ref="E428:F428"/>
    <mergeCell ref="E568:F568"/>
    <mergeCell ref="E397:F397"/>
    <mergeCell ref="A357:F357"/>
    <mergeCell ref="E222:F222"/>
    <mergeCell ref="E325:F325"/>
    <mergeCell ref="E576:F576"/>
    <mergeCell ref="E286:F286"/>
    <mergeCell ref="E434:F434"/>
    <mergeCell ref="A399:F399"/>
    <mergeCell ref="E522:F522"/>
    <mergeCell ref="E400:F400"/>
    <mergeCell ref="E248:F248"/>
    <mergeCell ref="E353:F353"/>
    <mergeCell ref="E499:F499"/>
    <mergeCell ref="E486:F486"/>
    <mergeCell ref="E129:F129"/>
    <mergeCell ref="E111:F111"/>
    <mergeCell ref="A50:F50"/>
    <mergeCell ref="E470:F470"/>
    <mergeCell ref="A3:F3"/>
    <mergeCell ref="A474:F474"/>
    <mergeCell ref="E181:F181"/>
    <mergeCell ref="E79:F79"/>
    <mergeCell ref="A95:F95"/>
    <mergeCell ref="E51:F51"/>
    <mergeCell ref="E358:F358"/>
    <mergeCell ref="A5:F5"/>
    <mergeCell ref="E128:F128"/>
    <mergeCell ref="E426:F426"/>
    <mergeCell ref="E27:F27"/>
    <mergeCell ref="A186:F186"/>
    <mergeCell ref="A15:F15"/>
    <mergeCell ref="E183:F183"/>
    <mergeCell ref="E146:F146"/>
    <mergeCell ref="E93:F93"/>
    <mergeCell ref="A7:F7"/>
    <mergeCell ref="B11:B12"/>
  </mergeCells>
  <conditionalFormatting sqref="G16:G589">
    <cfRule type="expression" dxfId="0" priority="1" stopIfTrue="1">
      <formula>AND(G16&lt;&gt;"",NOT(ISNUMBER(G16)))</formula>
    </cfRule>
  </conditionalFormatting>
  <pageMargins left="0.59" right="0.39" top="0.45" bottom="0.48" header="0.24" footer="0.23"/>
  <pageSetup paperSize="9" scale="87" orientation="portrait"/>
  <headerFooter>
    <oddHeader>&amp;L&amp;7ПРОГРАММНЫЙ КОМПЛЕКС TNQURILISH 5.0&amp;C &amp;R&amp;7 102-383-2971</oddHeader>
    <oddFooter xml:space="preserve">&amp;Ц&amp;L&amp;7 &amp;CСтраница  &amp;P&amp;R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3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0.6640625" customWidth="1"/>
    <col min="2" max="2" width="60.6640625" customWidth="1"/>
    <col min="3" max="3" width="19.1640625" customWidth="1"/>
    <col min="4" max="4" width="13.83203125" customWidth="1"/>
    <col min="5" max="5" width="15.5" customWidth="1"/>
    <col min="6" max="6" width="60.6640625" customWidth="1"/>
    <col min="7" max="7" width="14.1640625" customWidth="1"/>
    <col min="8" max="8" width="60.6640625" customWidth="1"/>
    <col min="9" max="9" width="16.6640625" customWidth="1"/>
    <col min="10" max="10" width="11.6640625" customWidth="1"/>
    <col min="11" max="11" width="60.6640625" customWidth="1"/>
  </cols>
  <sheetData>
    <row r="1" spans="1:11" ht="21.95" customHeight="1" x14ac:dyDescent="0.2">
      <c r="A1" s="31" t="s">
        <v>1452</v>
      </c>
      <c r="B1" s="31" t="s">
        <v>1453</v>
      </c>
      <c r="C1" s="31" t="s">
        <v>1454</v>
      </c>
      <c r="D1" s="31" t="s">
        <v>1455</v>
      </c>
      <c r="E1" s="31" t="s">
        <v>1456</v>
      </c>
      <c r="F1" s="31" t="s">
        <v>1457</v>
      </c>
      <c r="G1" s="31" t="s">
        <v>1458</v>
      </c>
      <c r="H1" s="31" t="s">
        <v>1459</v>
      </c>
      <c r="I1" s="31" t="s">
        <v>1460</v>
      </c>
      <c r="J1" s="31" t="s">
        <v>1461</v>
      </c>
      <c r="K1" s="31" t="s">
        <v>1462</v>
      </c>
    </row>
    <row r="2" spans="1:11" x14ac:dyDescent="0.2">
      <c r="A2" s="32">
        <v>16</v>
      </c>
      <c r="B2" s="32" t="s">
        <v>15</v>
      </c>
      <c r="C2" s="32" t="s">
        <v>16</v>
      </c>
      <c r="D2" s="32" t="s">
        <v>1463</v>
      </c>
      <c r="E2" s="32"/>
      <c r="F2" s="32"/>
      <c r="G2" s="32"/>
      <c r="H2" s="32"/>
      <c r="I2" s="32"/>
      <c r="J2" s="32">
        <v>0</v>
      </c>
      <c r="K2" s="32" t="s">
        <v>1464</v>
      </c>
    </row>
    <row r="3" spans="1:11" x14ac:dyDescent="0.2">
      <c r="A3" s="33">
        <v>17</v>
      </c>
      <c r="B3" s="33" t="s">
        <v>20</v>
      </c>
      <c r="C3" s="33" t="s">
        <v>21</v>
      </c>
      <c r="D3" s="33" t="s">
        <v>1465</v>
      </c>
      <c r="E3" s="33" t="s">
        <v>1466</v>
      </c>
      <c r="F3" s="33" t="s">
        <v>1467</v>
      </c>
      <c r="G3" s="33">
        <v>1</v>
      </c>
      <c r="H3" s="33"/>
      <c r="I3" s="33"/>
      <c r="J3" s="33">
        <v>15807.93</v>
      </c>
      <c r="K3" s="33"/>
    </row>
    <row r="4" spans="1:11" x14ac:dyDescent="0.2">
      <c r="A4" s="32">
        <v>18</v>
      </c>
      <c r="B4" s="32" t="s">
        <v>26</v>
      </c>
      <c r="C4" s="32" t="s">
        <v>21</v>
      </c>
      <c r="D4" s="32" t="s">
        <v>1468</v>
      </c>
      <c r="E4" s="32"/>
      <c r="F4" s="32"/>
      <c r="G4" s="32"/>
      <c r="H4" s="32"/>
      <c r="I4" s="32"/>
      <c r="J4" s="32">
        <v>0</v>
      </c>
      <c r="K4" s="32" t="s">
        <v>1469</v>
      </c>
    </row>
    <row r="5" spans="1:11" x14ac:dyDescent="0.2">
      <c r="A5" s="33">
        <v>19</v>
      </c>
      <c r="B5" s="33" t="s">
        <v>31</v>
      </c>
      <c r="C5" s="33" t="s">
        <v>32</v>
      </c>
      <c r="D5" s="33" t="s">
        <v>1465</v>
      </c>
      <c r="E5" s="33" t="s">
        <v>1470</v>
      </c>
      <c r="F5" s="33" t="s">
        <v>1471</v>
      </c>
      <c r="G5" s="33">
        <v>1</v>
      </c>
      <c r="H5" s="33"/>
      <c r="I5" s="33"/>
      <c r="J5" s="33">
        <v>61720</v>
      </c>
      <c r="K5" s="33"/>
    </row>
    <row r="6" spans="1:11" x14ac:dyDescent="0.2">
      <c r="A6" s="33">
        <v>20</v>
      </c>
      <c r="B6" s="33" t="s">
        <v>37</v>
      </c>
      <c r="C6" s="33" t="s">
        <v>32</v>
      </c>
      <c r="D6" s="33" t="s">
        <v>1465</v>
      </c>
      <c r="E6" s="33" t="s">
        <v>1470</v>
      </c>
      <c r="F6" s="33" t="s">
        <v>1472</v>
      </c>
      <c r="G6" s="33">
        <v>1</v>
      </c>
      <c r="H6" s="33"/>
      <c r="I6" s="33"/>
      <c r="J6" s="33">
        <v>146066.89000000001</v>
      </c>
      <c r="K6" s="33"/>
    </row>
    <row r="7" spans="1:11" x14ac:dyDescent="0.2">
      <c r="A7" s="32">
        <v>21</v>
      </c>
      <c r="B7" s="32" t="s">
        <v>42</v>
      </c>
      <c r="C7" s="32" t="s">
        <v>43</v>
      </c>
      <c r="D7" s="32" t="s">
        <v>1463</v>
      </c>
      <c r="E7" s="32"/>
      <c r="F7" s="32"/>
      <c r="G7" s="32"/>
      <c r="H7" s="32"/>
      <c r="I7" s="32"/>
      <c r="J7" s="32">
        <v>0</v>
      </c>
      <c r="K7" s="32" t="s">
        <v>1464</v>
      </c>
    </row>
    <row r="8" spans="1:11" x14ac:dyDescent="0.2">
      <c r="A8" s="32">
        <v>22</v>
      </c>
      <c r="B8" s="32" t="s">
        <v>26</v>
      </c>
      <c r="C8" s="32" t="s">
        <v>21</v>
      </c>
      <c r="D8" s="32" t="s">
        <v>1468</v>
      </c>
      <c r="E8" s="32"/>
      <c r="F8" s="32"/>
      <c r="G8" s="32"/>
      <c r="H8" s="32"/>
      <c r="I8" s="32"/>
      <c r="J8" s="32">
        <v>0</v>
      </c>
      <c r="K8" s="32" t="s">
        <v>1469</v>
      </c>
    </row>
    <row r="9" spans="1:11" x14ac:dyDescent="0.2">
      <c r="A9" s="33">
        <v>23</v>
      </c>
      <c r="B9" s="33" t="s">
        <v>50</v>
      </c>
      <c r="C9" s="33" t="s">
        <v>32</v>
      </c>
      <c r="D9" s="33" t="s">
        <v>1465</v>
      </c>
      <c r="E9" s="33" t="s">
        <v>1470</v>
      </c>
      <c r="F9" s="33" t="s">
        <v>1473</v>
      </c>
      <c r="G9" s="33">
        <v>1</v>
      </c>
      <c r="H9" s="33"/>
      <c r="I9" s="33"/>
      <c r="J9" s="33">
        <v>45800</v>
      </c>
      <c r="K9" s="33"/>
    </row>
    <row r="10" spans="1:11" x14ac:dyDescent="0.2">
      <c r="A10" s="32">
        <v>24</v>
      </c>
      <c r="B10" s="32" t="s">
        <v>52</v>
      </c>
      <c r="C10" s="32" t="s">
        <v>43</v>
      </c>
      <c r="D10" s="32" t="s">
        <v>1463</v>
      </c>
      <c r="E10" s="32"/>
      <c r="F10" s="32"/>
      <c r="G10" s="32"/>
      <c r="H10" s="32"/>
      <c r="I10" s="32"/>
      <c r="J10" s="32">
        <v>0</v>
      </c>
      <c r="K10" s="32" t="s">
        <v>1464</v>
      </c>
    </row>
    <row r="11" spans="1:11" x14ac:dyDescent="0.2">
      <c r="A11" s="32">
        <v>25</v>
      </c>
      <c r="B11" s="32" t="s">
        <v>26</v>
      </c>
      <c r="C11" s="32" t="s">
        <v>21</v>
      </c>
      <c r="D11" s="32" t="s">
        <v>1468</v>
      </c>
      <c r="E11" s="32"/>
      <c r="F11" s="32"/>
      <c r="G11" s="32"/>
      <c r="H11" s="32"/>
      <c r="I11" s="32"/>
      <c r="J11" s="32">
        <v>0</v>
      </c>
      <c r="K11" s="32" t="s">
        <v>1469</v>
      </c>
    </row>
    <row r="12" spans="1:11" x14ac:dyDescent="0.2">
      <c r="A12" s="33">
        <v>26</v>
      </c>
      <c r="B12" s="33" t="s">
        <v>50</v>
      </c>
      <c r="C12" s="33" t="s">
        <v>32</v>
      </c>
      <c r="D12" s="33" t="s">
        <v>1465</v>
      </c>
      <c r="E12" s="33" t="s">
        <v>1470</v>
      </c>
      <c r="F12" s="33" t="s">
        <v>1473</v>
      </c>
      <c r="G12" s="33">
        <v>1</v>
      </c>
      <c r="H12" s="33"/>
      <c r="I12" s="33"/>
      <c r="J12" s="33">
        <v>45800</v>
      </c>
      <c r="K12" s="33"/>
    </row>
    <row r="13" spans="1:11" x14ac:dyDescent="0.2">
      <c r="A13" s="33">
        <v>27</v>
      </c>
      <c r="B13" s="33" t="s">
        <v>59</v>
      </c>
      <c r="C13" s="33" t="s">
        <v>60</v>
      </c>
      <c r="D13" s="33" t="s">
        <v>1465</v>
      </c>
      <c r="E13" s="33" t="s">
        <v>1474</v>
      </c>
      <c r="F13" s="33" t="s">
        <v>1475</v>
      </c>
      <c r="G13" s="33">
        <v>1</v>
      </c>
      <c r="H13" s="33"/>
      <c r="I13" s="33"/>
      <c r="J13" s="33">
        <v>3000</v>
      </c>
      <c r="K13" s="33"/>
    </row>
    <row r="14" spans="1:11" x14ac:dyDescent="0.2">
      <c r="A14" s="32">
        <v>28</v>
      </c>
      <c r="B14" s="32" t="s">
        <v>64</v>
      </c>
      <c r="C14" s="32" t="s">
        <v>16</v>
      </c>
      <c r="D14" s="32" t="s">
        <v>1463</v>
      </c>
      <c r="E14" s="32"/>
      <c r="F14" s="32"/>
      <c r="G14" s="32"/>
      <c r="H14" s="32"/>
      <c r="I14" s="32"/>
      <c r="J14" s="32">
        <v>0</v>
      </c>
      <c r="K14" s="32" t="s">
        <v>1464</v>
      </c>
    </row>
    <row r="15" spans="1:11" x14ac:dyDescent="0.2">
      <c r="A15" s="33">
        <v>29</v>
      </c>
      <c r="B15" s="33" t="s">
        <v>20</v>
      </c>
      <c r="C15" s="33" t="s">
        <v>21</v>
      </c>
      <c r="D15" s="33" t="s">
        <v>1465</v>
      </c>
      <c r="E15" s="33" t="s">
        <v>1466</v>
      </c>
      <c r="F15" s="33" t="s">
        <v>1467</v>
      </c>
      <c r="G15" s="33">
        <v>1</v>
      </c>
      <c r="H15" s="33"/>
      <c r="I15" s="33"/>
      <c r="J15" s="33">
        <v>15807.93</v>
      </c>
      <c r="K15" s="33"/>
    </row>
    <row r="16" spans="1:11" x14ac:dyDescent="0.2">
      <c r="A16" s="32">
        <v>30</v>
      </c>
      <c r="B16" s="32" t="s">
        <v>26</v>
      </c>
      <c r="C16" s="32" t="s">
        <v>21</v>
      </c>
      <c r="D16" s="32" t="s">
        <v>1468</v>
      </c>
      <c r="E16" s="32"/>
      <c r="F16" s="32"/>
      <c r="G16" s="32"/>
      <c r="H16" s="32"/>
      <c r="I16" s="32"/>
      <c r="J16" s="32">
        <v>0</v>
      </c>
      <c r="K16" s="32" t="s">
        <v>1469</v>
      </c>
    </row>
    <row r="17" spans="1:11" x14ac:dyDescent="0.2">
      <c r="A17" s="33">
        <v>31</v>
      </c>
      <c r="B17" s="33" t="s">
        <v>31</v>
      </c>
      <c r="C17" s="33" t="s">
        <v>32</v>
      </c>
      <c r="D17" s="33" t="s">
        <v>1465</v>
      </c>
      <c r="E17" s="33" t="s">
        <v>1470</v>
      </c>
      <c r="F17" s="33" t="s">
        <v>1471</v>
      </c>
      <c r="G17" s="33">
        <v>1</v>
      </c>
      <c r="H17" s="33"/>
      <c r="I17" s="33"/>
      <c r="J17" s="33">
        <v>61720</v>
      </c>
      <c r="K17" s="33"/>
    </row>
    <row r="18" spans="1:11" x14ac:dyDescent="0.2">
      <c r="A18" s="33">
        <v>32</v>
      </c>
      <c r="B18" s="33" t="s">
        <v>77</v>
      </c>
      <c r="C18" s="33" t="s">
        <v>32</v>
      </c>
      <c r="D18" s="33" t="s">
        <v>1465</v>
      </c>
      <c r="E18" s="33" t="s">
        <v>1470</v>
      </c>
      <c r="F18" s="33" t="s">
        <v>1476</v>
      </c>
      <c r="G18" s="33">
        <v>1</v>
      </c>
      <c r="H18" s="33"/>
      <c r="I18" s="33"/>
      <c r="J18" s="33">
        <v>3351.74</v>
      </c>
      <c r="K18" s="33"/>
    </row>
    <row r="19" spans="1:11" x14ac:dyDescent="0.2">
      <c r="A19" s="33">
        <v>33</v>
      </c>
      <c r="B19" s="33" t="s">
        <v>82</v>
      </c>
      <c r="C19" s="33" t="s">
        <v>32</v>
      </c>
      <c r="D19" s="33" t="s">
        <v>1465</v>
      </c>
      <c r="E19" s="33" t="s">
        <v>1470</v>
      </c>
      <c r="F19" s="33" t="s">
        <v>1477</v>
      </c>
      <c r="G19" s="33">
        <v>1</v>
      </c>
      <c r="H19" s="33"/>
      <c r="I19" s="33"/>
      <c r="J19" s="33">
        <v>80000</v>
      </c>
      <c r="K19" s="33"/>
    </row>
    <row r="20" spans="1:11" x14ac:dyDescent="0.2">
      <c r="A20" s="33">
        <v>34</v>
      </c>
      <c r="B20" s="33" t="s">
        <v>87</v>
      </c>
      <c r="C20" s="33" t="s">
        <v>32</v>
      </c>
      <c r="D20" s="33" t="s">
        <v>1465</v>
      </c>
      <c r="E20" s="33" t="s">
        <v>1470</v>
      </c>
      <c r="F20" s="33" t="s">
        <v>1478</v>
      </c>
      <c r="G20" s="33">
        <v>1</v>
      </c>
      <c r="H20" s="33"/>
      <c r="I20" s="33"/>
      <c r="J20" s="33">
        <v>68099.44</v>
      </c>
      <c r="K20" s="33"/>
    </row>
    <row r="21" spans="1:11" x14ac:dyDescent="0.2">
      <c r="A21" s="33">
        <v>35</v>
      </c>
      <c r="B21" s="33" t="s">
        <v>92</v>
      </c>
      <c r="C21" s="33" t="s">
        <v>32</v>
      </c>
      <c r="D21" s="33" t="s">
        <v>1465</v>
      </c>
      <c r="E21" s="33" t="s">
        <v>1470</v>
      </c>
      <c r="F21" s="33" t="s">
        <v>1479</v>
      </c>
      <c r="G21" s="33">
        <v>1</v>
      </c>
      <c r="H21" s="33"/>
      <c r="I21" s="33"/>
      <c r="J21" s="33">
        <v>93144.2</v>
      </c>
      <c r="K21" s="33"/>
    </row>
    <row r="22" spans="1:11" x14ac:dyDescent="0.2">
      <c r="A22" s="33">
        <v>36</v>
      </c>
      <c r="B22" s="33" t="s">
        <v>97</v>
      </c>
      <c r="C22" s="33" t="s">
        <v>32</v>
      </c>
      <c r="D22" s="33" t="s">
        <v>1465</v>
      </c>
      <c r="E22" s="33" t="s">
        <v>1470</v>
      </c>
      <c r="F22" s="33" t="s">
        <v>1480</v>
      </c>
      <c r="G22" s="33">
        <v>1</v>
      </c>
      <c r="H22" s="33"/>
      <c r="I22" s="33"/>
      <c r="J22" s="33">
        <v>65691.27</v>
      </c>
      <c r="K22" s="33"/>
    </row>
    <row r="23" spans="1:11" x14ac:dyDescent="0.2">
      <c r="A23" s="33">
        <v>37</v>
      </c>
      <c r="B23" s="33" t="s">
        <v>102</v>
      </c>
      <c r="C23" s="33" t="s">
        <v>32</v>
      </c>
      <c r="D23" s="33" t="s">
        <v>1465</v>
      </c>
      <c r="E23" s="33" t="s">
        <v>1470</v>
      </c>
      <c r="F23" s="33" t="s">
        <v>1481</v>
      </c>
      <c r="G23" s="33">
        <v>1</v>
      </c>
      <c r="H23" s="33"/>
      <c r="I23" s="33"/>
      <c r="J23" s="33">
        <v>85010.43</v>
      </c>
      <c r="K23" s="33"/>
    </row>
    <row r="24" spans="1:11" x14ac:dyDescent="0.2">
      <c r="A24" s="33">
        <v>38</v>
      </c>
      <c r="B24" s="33" t="s">
        <v>105</v>
      </c>
      <c r="C24" s="33" t="s">
        <v>60</v>
      </c>
      <c r="D24" s="33" t="s">
        <v>1465</v>
      </c>
      <c r="E24" s="33" t="s">
        <v>1474</v>
      </c>
      <c r="F24" s="33" t="s">
        <v>1482</v>
      </c>
      <c r="G24" s="33">
        <v>1</v>
      </c>
      <c r="H24" s="33"/>
      <c r="I24" s="33"/>
      <c r="J24" s="33">
        <v>0</v>
      </c>
      <c r="K24" s="33"/>
    </row>
    <row r="25" spans="1:11" x14ac:dyDescent="0.2">
      <c r="A25" s="32">
        <v>39</v>
      </c>
      <c r="B25" s="32" t="s">
        <v>109</v>
      </c>
      <c r="C25" s="32" t="s">
        <v>16</v>
      </c>
      <c r="D25" s="32" t="s">
        <v>1463</v>
      </c>
      <c r="E25" s="32"/>
      <c r="F25" s="32"/>
      <c r="G25" s="32"/>
      <c r="H25" s="32"/>
      <c r="I25" s="32"/>
      <c r="J25" s="32">
        <v>0</v>
      </c>
      <c r="K25" s="32" t="s">
        <v>1464</v>
      </c>
    </row>
    <row r="26" spans="1:11" x14ac:dyDescent="0.2">
      <c r="A26" s="32">
        <v>40</v>
      </c>
      <c r="B26" s="32" t="s">
        <v>26</v>
      </c>
      <c r="C26" s="32" t="s">
        <v>21</v>
      </c>
      <c r="D26" s="32" t="s">
        <v>1468</v>
      </c>
      <c r="E26" s="32"/>
      <c r="F26" s="32"/>
      <c r="G26" s="32"/>
      <c r="H26" s="32"/>
      <c r="I26" s="32"/>
      <c r="J26" s="32">
        <v>0</v>
      </c>
      <c r="K26" s="32" t="s">
        <v>1469</v>
      </c>
    </row>
    <row r="27" spans="1:11" x14ac:dyDescent="0.2">
      <c r="A27" s="33">
        <v>41</v>
      </c>
      <c r="B27" s="33" t="s">
        <v>31</v>
      </c>
      <c r="C27" s="33" t="s">
        <v>32</v>
      </c>
      <c r="D27" s="33" t="s">
        <v>1465</v>
      </c>
      <c r="E27" s="33" t="s">
        <v>1470</v>
      </c>
      <c r="F27" s="33" t="s">
        <v>1471</v>
      </c>
      <c r="G27" s="33">
        <v>1</v>
      </c>
      <c r="H27" s="33"/>
      <c r="I27" s="33"/>
      <c r="J27" s="33">
        <v>61720</v>
      </c>
      <c r="K27" s="33"/>
    </row>
    <row r="28" spans="1:11" x14ac:dyDescent="0.2">
      <c r="A28" s="32">
        <v>42</v>
      </c>
      <c r="B28" s="32" t="s">
        <v>117</v>
      </c>
      <c r="C28" s="32" t="s">
        <v>118</v>
      </c>
      <c r="D28" s="32" t="s">
        <v>1463</v>
      </c>
      <c r="E28" s="32"/>
      <c r="F28" s="32"/>
      <c r="G28" s="32"/>
      <c r="H28" s="32"/>
      <c r="I28" s="32"/>
      <c r="J28" s="32">
        <v>0</v>
      </c>
      <c r="K28" s="32" t="s">
        <v>1464</v>
      </c>
    </row>
    <row r="29" spans="1:11" x14ac:dyDescent="0.2">
      <c r="A29" s="33">
        <v>43</v>
      </c>
      <c r="B29" s="33" t="s">
        <v>20</v>
      </c>
      <c r="C29" s="33" t="s">
        <v>21</v>
      </c>
      <c r="D29" s="33" t="s">
        <v>1465</v>
      </c>
      <c r="E29" s="33" t="s">
        <v>1466</v>
      </c>
      <c r="F29" s="33" t="s">
        <v>1467</v>
      </c>
      <c r="G29" s="33">
        <v>1</v>
      </c>
      <c r="H29" s="33"/>
      <c r="I29" s="33"/>
      <c r="J29" s="33">
        <v>15807.93</v>
      </c>
      <c r="K29" s="33"/>
    </row>
    <row r="30" spans="1:11" x14ac:dyDescent="0.2">
      <c r="A30" s="32">
        <v>44</v>
      </c>
      <c r="B30" s="32" t="s">
        <v>125</v>
      </c>
      <c r="C30" s="32" t="s">
        <v>118</v>
      </c>
      <c r="D30" s="32" t="s">
        <v>1463</v>
      </c>
      <c r="E30" s="32"/>
      <c r="F30" s="32"/>
      <c r="G30" s="32"/>
      <c r="H30" s="32"/>
      <c r="I30" s="32"/>
      <c r="J30" s="32">
        <v>0</v>
      </c>
      <c r="K30" s="32" t="s">
        <v>1464</v>
      </c>
    </row>
    <row r="31" spans="1:11" x14ac:dyDescent="0.2">
      <c r="A31" s="33">
        <v>45</v>
      </c>
      <c r="B31" s="33" t="s">
        <v>20</v>
      </c>
      <c r="C31" s="33" t="s">
        <v>21</v>
      </c>
      <c r="D31" s="33" t="s">
        <v>1465</v>
      </c>
      <c r="E31" s="33" t="s">
        <v>1466</v>
      </c>
      <c r="F31" s="33" t="s">
        <v>1467</v>
      </c>
      <c r="G31" s="33">
        <v>1</v>
      </c>
      <c r="H31" s="33"/>
      <c r="I31" s="33"/>
      <c r="J31" s="33">
        <v>15807.93</v>
      </c>
      <c r="K31" s="33"/>
    </row>
    <row r="32" spans="1:11" x14ac:dyDescent="0.2">
      <c r="A32" s="32">
        <v>46</v>
      </c>
      <c r="B32" s="32" t="s">
        <v>26</v>
      </c>
      <c r="C32" s="32" t="s">
        <v>21</v>
      </c>
      <c r="D32" s="32" t="s">
        <v>1468</v>
      </c>
      <c r="E32" s="32"/>
      <c r="F32" s="32"/>
      <c r="G32" s="32"/>
      <c r="H32" s="32"/>
      <c r="I32" s="32"/>
      <c r="J32" s="32">
        <v>0</v>
      </c>
      <c r="K32" s="32" t="s">
        <v>1469</v>
      </c>
    </row>
    <row r="33" spans="1:11" x14ac:dyDescent="0.2">
      <c r="A33" s="33">
        <v>47</v>
      </c>
      <c r="B33" s="33" t="s">
        <v>135</v>
      </c>
      <c r="C33" s="33" t="s">
        <v>32</v>
      </c>
      <c r="D33" s="33" t="s">
        <v>1465</v>
      </c>
      <c r="E33" s="33" t="s">
        <v>1470</v>
      </c>
      <c r="F33" s="33" t="s">
        <v>1483</v>
      </c>
      <c r="G33" s="33">
        <v>1</v>
      </c>
      <c r="H33" s="33"/>
      <c r="I33" s="33"/>
      <c r="J33" s="33">
        <v>35400</v>
      </c>
      <c r="K33" s="33"/>
    </row>
    <row r="34" spans="1:11" x14ac:dyDescent="0.2">
      <c r="A34" s="33">
        <v>48</v>
      </c>
      <c r="B34" s="33" t="s">
        <v>138</v>
      </c>
      <c r="C34" s="33" t="s">
        <v>32</v>
      </c>
      <c r="D34" s="33" t="s">
        <v>1465</v>
      </c>
      <c r="E34" s="33" t="s">
        <v>1470</v>
      </c>
      <c r="F34" s="33" t="s">
        <v>1484</v>
      </c>
      <c r="G34" s="33">
        <v>1</v>
      </c>
      <c r="H34" s="33"/>
      <c r="I34" s="33"/>
      <c r="J34" s="33">
        <v>1800</v>
      </c>
      <c r="K34" s="33"/>
    </row>
    <row r="35" spans="1:11" x14ac:dyDescent="0.2">
      <c r="A35" s="32">
        <v>51</v>
      </c>
      <c r="B35" s="32" t="s">
        <v>144</v>
      </c>
      <c r="C35" s="32" t="s">
        <v>118</v>
      </c>
      <c r="D35" s="32" t="s">
        <v>1463</v>
      </c>
      <c r="E35" s="32"/>
      <c r="F35" s="32"/>
      <c r="G35" s="32"/>
      <c r="H35" s="32"/>
      <c r="I35" s="32"/>
      <c r="J35" s="32">
        <v>0</v>
      </c>
      <c r="K35" s="32" t="s">
        <v>1464</v>
      </c>
    </row>
    <row r="36" spans="1:11" x14ac:dyDescent="0.2">
      <c r="A36" s="33">
        <v>52</v>
      </c>
      <c r="B36" s="33" t="s">
        <v>20</v>
      </c>
      <c r="C36" s="33" t="s">
        <v>21</v>
      </c>
      <c r="D36" s="33" t="s">
        <v>1465</v>
      </c>
      <c r="E36" s="33" t="s">
        <v>1466</v>
      </c>
      <c r="F36" s="33" t="s">
        <v>1467</v>
      </c>
      <c r="G36" s="33">
        <v>1</v>
      </c>
      <c r="H36" s="33"/>
      <c r="I36" s="33"/>
      <c r="J36" s="33">
        <v>15807.93</v>
      </c>
      <c r="K36" s="33"/>
    </row>
    <row r="37" spans="1:11" x14ac:dyDescent="0.2">
      <c r="A37" s="32">
        <v>53</v>
      </c>
      <c r="B37" s="32" t="s">
        <v>26</v>
      </c>
      <c r="C37" s="32" t="s">
        <v>21</v>
      </c>
      <c r="D37" s="32" t="s">
        <v>1468</v>
      </c>
      <c r="E37" s="32"/>
      <c r="F37" s="32"/>
      <c r="G37" s="32"/>
      <c r="H37" s="32"/>
      <c r="I37" s="32"/>
      <c r="J37" s="32">
        <v>0</v>
      </c>
      <c r="K37" s="32" t="s">
        <v>1469</v>
      </c>
    </row>
    <row r="38" spans="1:11" x14ac:dyDescent="0.2">
      <c r="A38" s="33">
        <v>54</v>
      </c>
      <c r="B38" s="33" t="s">
        <v>154</v>
      </c>
      <c r="C38" s="33" t="s">
        <v>32</v>
      </c>
      <c r="D38" s="33" t="s">
        <v>1465</v>
      </c>
      <c r="E38" s="33" t="s">
        <v>1470</v>
      </c>
      <c r="F38" s="33" t="s">
        <v>1485</v>
      </c>
      <c r="G38" s="33">
        <v>1</v>
      </c>
      <c r="H38" s="33"/>
      <c r="I38" s="33"/>
      <c r="J38" s="33">
        <v>580</v>
      </c>
      <c r="K38" s="33"/>
    </row>
    <row r="39" spans="1:11" x14ac:dyDescent="0.2">
      <c r="A39" s="33">
        <v>55</v>
      </c>
      <c r="B39" s="33" t="s">
        <v>159</v>
      </c>
      <c r="C39" s="33" t="s">
        <v>32</v>
      </c>
      <c r="D39" s="33" t="s">
        <v>1465</v>
      </c>
      <c r="E39" s="33" t="s">
        <v>1470</v>
      </c>
      <c r="F39" s="33" t="s">
        <v>1486</v>
      </c>
      <c r="G39" s="33">
        <v>1</v>
      </c>
      <c r="H39" s="33"/>
      <c r="I39" s="33"/>
      <c r="J39" s="33">
        <v>45270</v>
      </c>
      <c r="K39" s="33"/>
    </row>
    <row r="40" spans="1:11" x14ac:dyDescent="0.2">
      <c r="A40" s="33">
        <v>56</v>
      </c>
      <c r="B40" s="33" t="s">
        <v>164</v>
      </c>
      <c r="C40" s="33" t="s">
        <v>32</v>
      </c>
      <c r="D40" s="33" t="s">
        <v>1465</v>
      </c>
      <c r="E40" s="33" t="s">
        <v>1470</v>
      </c>
      <c r="F40" s="33" t="s">
        <v>1487</v>
      </c>
      <c r="G40" s="33">
        <v>1</v>
      </c>
      <c r="H40" s="33"/>
      <c r="I40" s="33"/>
      <c r="J40" s="33">
        <v>52621.06</v>
      </c>
      <c r="K40" s="33"/>
    </row>
    <row r="41" spans="1:11" x14ac:dyDescent="0.2">
      <c r="A41" s="33">
        <v>57</v>
      </c>
      <c r="B41" s="33" t="s">
        <v>105</v>
      </c>
      <c r="C41" s="33" t="s">
        <v>60</v>
      </c>
      <c r="D41" s="33" t="s">
        <v>1465</v>
      </c>
      <c r="E41" s="33" t="s">
        <v>1474</v>
      </c>
      <c r="F41" s="33" t="s">
        <v>1482</v>
      </c>
      <c r="G41" s="33">
        <v>1</v>
      </c>
      <c r="H41" s="33"/>
      <c r="I41" s="33"/>
      <c r="J41" s="33">
        <v>0</v>
      </c>
      <c r="K41" s="33"/>
    </row>
    <row r="42" spans="1:11" x14ac:dyDescent="0.2">
      <c r="A42" s="33">
        <v>58</v>
      </c>
      <c r="B42" s="33" t="s">
        <v>173</v>
      </c>
      <c r="C42" s="33" t="s">
        <v>60</v>
      </c>
      <c r="D42" s="33" t="s">
        <v>1465</v>
      </c>
      <c r="E42" s="33" t="s">
        <v>1474</v>
      </c>
      <c r="F42" s="33" t="s">
        <v>1488</v>
      </c>
      <c r="G42" s="33">
        <v>1</v>
      </c>
      <c r="H42" s="33"/>
      <c r="I42" s="33"/>
      <c r="J42" s="33">
        <v>325000</v>
      </c>
      <c r="K42" s="33"/>
    </row>
    <row r="43" spans="1:11" x14ac:dyDescent="0.2">
      <c r="A43" s="33">
        <v>59</v>
      </c>
      <c r="B43" s="33" t="s">
        <v>178</v>
      </c>
      <c r="C43" s="33" t="s">
        <v>179</v>
      </c>
      <c r="D43" s="33" t="s">
        <v>1465</v>
      </c>
      <c r="E43" s="33" t="s">
        <v>1489</v>
      </c>
      <c r="F43" s="33" t="s">
        <v>1490</v>
      </c>
      <c r="G43" s="33">
        <v>1</v>
      </c>
      <c r="H43" s="33"/>
      <c r="I43" s="33"/>
      <c r="J43" s="33">
        <v>900</v>
      </c>
      <c r="K43" s="33"/>
    </row>
    <row r="44" spans="1:11" x14ac:dyDescent="0.2">
      <c r="A44" s="32">
        <v>60</v>
      </c>
      <c r="B44" s="32" t="s">
        <v>184</v>
      </c>
      <c r="C44" s="32" t="s">
        <v>118</v>
      </c>
      <c r="D44" s="32" t="s">
        <v>1463</v>
      </c>
      <c r="E44" s="32"/>
      <c r="F44" s="32"/>
      <c r="G44" s="32"/>
      <c r="H44" s="32"/>
      <c r="I44" s="32"/>
      <c r="J44" s="32">
        <v>0</v>
      </c>
      <c r="K44" s="32" t="s">
        <v>1464</v>
      </c>
    </row>
    <row r="45" spans="1:11" x14ac:dyDescent="0.2">
      <c r="A45" s="33">
        <v>61</v>
      </c>
      <c r="B45" s="33" t="s">
        <v>20</v>
      </c>
      <c r="C45" s="33" t="s">
        <v>21</v>
      </c>
      <c r="D45" s="33" t="s">
        <v>1465</v>
      </c>
      <c r="E45" s="33" t="s">
        <v>1466</v>
      </c>
      <c r="F45" s="33" t="s">
        <v>1467</v>
      </c>
      <c r="G45" s="33">
        <v>1</v>
      </c>
      <c r="H45" s="33"/>
      <c r="I45" s="33"/>
      <c r="J45" s="33">
        <v>15807.93</v>
      </c>
      <c r="K45" s="33"/>
    </row>
    <row r="46" spans="1:11" x14ac:dyDescent="0.2">
      <c r="A46" s="32">
        <v>62</v>
      </c>
      <c r="B46" s="32" t="s">
        <v>26</v>
      </c>
      <c r="C46" s="32" t="s">
        <v>21</v>
      </c>
      <c r="D46" s="32" t="s">
        <v>1468</v>
      </c>
      <c r="E46" s="32"/>
      <c r="F46" s="32"/>
      <c r="G46" s="32"/>
      <c r="H46" s="32"/>
      <c r="I46" s="32"/>
      <c r="J46" s="32">
        <v>0</v>
      </c>
      <c r="K46" s="32" t="s">
        <v>1469</v>
      </c>
    </row>
    <row r="47" spans="1:11" x14ac:dyDescent="0.2">
      <c r="A47" s="33">
        <v>63</v>
      </c>
      <c r="B47" s="33" t="s">
        <v>194</v>
      </c>
      <c r="C47" s="33" t="s">
        <v>32</v>
      </c>
      <c r="D47" s="33" t="s">
        <v>1465</v>
      </c>
      <c r="E47" s="33" t="s">
        <v>1470</v>
      </c>
      <c r="F47" s="33" t="s">
        <v>1491</v>
      </c>
      <c r="G47" s="33">
        <v>1</v>
      </c>
      <c r="H47" s="33"/>
      <c r="I47" s="33"/>
      <c r="J47" s="33">
        <v>54800</v>
      </c>
      <c r="K47" s="33"/>
    </row>
    <row r="48" spans="1:11" x14ac:dyDescent="0.2">
      <c r="A48" s="33">
        <v>64</v>
      </c>
      <c r="B48" s="33" t="s">
        <v>154</v>
      </c>
      <c r="C48" s="33" t="s">
        <v>32</v>
      </c>
      <c r="D48" s="33" t="s">
        <v>1465</v>
      </c>
      <c r="E48" s="33" t="s">
        <v>1470</v>
      </c>
      <c r="F48" s="33" t="s">
        <v>1485</v>
      </c>
      <c r="G48" s="33">
        <v>1</v>
      </c>
      <c r="H48" s="33"/>
      <c r="I48" s="33"/>
      <c r="J48" s="33">
        <v>580</v>
      </c>
      <c r="K48" s="33"/>
    </row>
    <row r="49" spans="1:11" x14ac:dyDescent="0.2">
      <c r="A49" s="33">
        <v>65</v>
      </c>
      <c r="B49" s="33" t="s">
        <v>159</v>
      </c>
      <c r="C49" s="33" t="s">
        <v>32</v>
      </c>
      <c r="D49" s="33" t="s">
        <v>1465</v>
      </c>
      <c r="E49" s="33" t="s">
        <v>1470</v>
      </c>
      <c r="F49" s="33" t="s">
        <v>1486</v>
      </c>
      <c r="G49" s="33">
        <v>1</v>
      </c>
      <c r="H49" s="33"/>
      <c r="I49" s="33"/>
      <c r="J49" s="33">
        <v>45270</v>
      </c>
      <c r="K49" s="33"/>
    </row>
    <row r="50" spans="1:11" x14ac:dyDescent="0.2">
      <c r="A50" s="33">
        <v>66</v>
      </c>
      <c r="B50" s="33" t="s">
        <v>205</v>
      </c>
      <c r="C50" s="33" t="s">
        <v>32</v>
      </c>
      <c r="D50" s="33" t="s">
        <v>1465</v>
      </c>
      <c r="E50" s="33" t="s">
        <v>1470</v>
      </c>
      <c r="F50" s="33" t="s">
        <v>1492</v>
      </c>
      <c r="G50" s="33">
        <v>1</v>
      </c>
      <c r="H50" s="33"/>
      <c r="I50" s="33"/>
      <c r="J50" s="33">
        <v>102000</v>
      </c>
      <c r="K50" s="33"/>
    </row>
    <row r="51" spans="1:11" x14ac:dyDescent="0.2">
      <c r="A51" s="33">
        <v>67</v>
      </c>
      <c r="B51" s="33" t="s">
        <v>210</v>
      </c>
      <c r="C51" s="33" t="s">
        <v>32</v>
      </c>
      <c r="D51" s="33" t="s">
        <v>1465</v>
      </c>
      <c r="E51" s="33" t="s">
        <v>1470</v>
      </c>
      <c r="F51" s="33" t="s">
        <v>1493</v>
      </c>
      <c r="G51" s="33">
        <v>1</v>
      </c>
      <c r="H51" s="33"/>
      <c r="I51" s="33"/>
      <c r="J51" s="33">
        <v>873</v>
      </c>
      <c r="K51" s="33"/>
    </row>
    <row r="52" spans="1:11" x14ac:dyDescent="0.2">
      <c r="A52" s="33">
        <v>68</v>
      </c>
      <c r="B52" s="33" t="s">
        <v>215</v>
      </c>
      <c r="C52" s="33" t="s">
        <v>32</v>
      </c>
      <c r="D52" s="33" t="s">
        <v>1465</v>
      </c>
      <c r="E52" s="33" t="s">
        <v>1470</v>
      </c>
      <c r="F52" s="33" t="s">
        <v>1494</v>
      </c>
      <c r="G52" s="33">
        <v>1</v>
      </c>
      <c r="H52" s="33"/>
      <c r="I52" s="33"/>
      <c r="J52" s="33">
        <v>3200</v>
      </c>
      <c r="K52" s="33"/>
    </row>
    <row r="53" spans="1:11" x14ac:dyDescent="0.2">
      <c r="A53" s="33">
        <v>69</v>
      </c>
      <c r="B53" s="33" t="s">
        <v>164</v>
      </c>
      <c r="C53" s="33" t="s">
        <v>32</v>
      </c>
      <c r="D53" s="33" t="s">
        <v>1465</v>
      </c>
      <c r="E53" s="33" t="s">
        <v>1470</v>
      </c>
      <c r="F53" s="33" t="s">
        <v>1487</v>
      </c>
      <c r="G53" s="33">
        <v>1</v>
      </c>
      <c r="H53" s="33"/>
      <c r="I53" s="33"/>
      <c r="J53" s="33">
        <v>52621.06</v>
      </c>
      <c r="K53" s="33"/>
    </row>
    <row r="54" spans="1:11" x14ac:dyDescent="0.2">
      <c r="A54" s="33">
        <v>70</v>
      </c>
      <c r="B54" s="33" t="s">
        <v>105</v>
      </c>
      <c r="C54" s="33" t="s">
        <v>60</v>
      </c>
      <c r="D54" s="33" t="s">
        <v>1465</v>
      </c>
      <c r="E54" s="33" t="s">
        <v>1474</v>
      </c>
      <c r="F54" s="33" t="s">
        <v>1482</v>
      </c>
      <c r="G54" s="33">
        <v>1</v>
      </c>
      <c r="H54" s="33"/>
      <c r="I54" s="33"/>
      <c r="J54" s="33">
        <v>0</v>
      </c>
      <c r="K54" s="33"/>
    </row>
    <row r="55" spans="1:11" x14ac:dyDescent="0.2">
      <c r="A55" s="33">
        <v>71</v>
      </c>
      <c r="B55" s="33" t="s">
        <v>226</v>
      </c>
      <c r="C55" s="33" t="s">
        <v>60</v>
      </c>
      <c r="D55" s="33" t="s">
        <v>1465</v>
      </c>
      <c r="E55" s="33" t="s">
        <v>1474</v>
      </c>
      <c r="F55" s="33" t="s">
        <v>1495</v>
      </c>
      <c r="G55" s="33">
        <v>1</v>
      </c>
      <c r="H55" s="33"/>
      <c r="I55" s="33"/>
      <c r="J55" s="33">
        <v>400000</v>
      </c>
      <c r="K55" s="33"/>
    </row>
    <row r="56" spans="1:11" x14ac:dyDescent="0.2">
      <c r="A56" s="33">
        <v>72</v>
      </c>
      <c r="B56" s="33" t="s">
        <v>231</v>
      </c>
      <c r="C56" s="33" t="s">
        <v>43</v>
      </c>
      <c r="D56" s="33" t="s">
        <v>1465</v>
      </c>
      <c r="E56" s="33" t="s">
        <v>1496</v>
      </c>
      <c r="F56" s="33" t="s">
        <v>1497</v>
      </c>
      <c r="G56" s="33">
        <v>1</v>
      </c>
      <c r="H56" s="33"/>
      <c r="I56" s="33"/>
      <c r="J56" s="33">
        <v>8200000</v>
      </c>
      <c r="K56" s="33"/>
    </row>
    <row r="57" spans="1:11" x14ac:dyDescent="0.2">
      <c r="A57" s="33">
        <v>73</v>
      </c>
      <c r="B57" s="33" t="s">
        <v>236</v>
      </c>
      <c r="C57" s="33" t="s">
        <v>43</v>
      </c>
      <c r="D57" s="33" t="s">
        <v>1465</v>
      </c>
      <c r="E57" s="33" t="s">
        <v>1496</v>
      </c>
      <c r="F57" s="33" t="s">
        <v>1498</v>
      </c>
      <c r="G57" s="33">
        <v>1</v>
      </c>
      <c r="H57" s="33"/>
      <c r="I57" s="33"/>
      <c r="J57" s="33">
        <v>650000</v>
      </c>
      <c r="K57" s="33"/>
    </row>
    <row r="58" spans="1:11" x14ac:dyDescent="0.2">
      <c r="A58" s="33">
        <v>74</v>
      </c>
      <c r="B58" s="33" t="s">
        <v>241</v>
      </c>
      <c r="C58" s="33" t="s">
        <v>43</v>
      </c>
      <c r="D58" s="33" t="s">
        <v>1465</v>
      </c>
      <c r="E58" s="33" t="s">
        <v>1496</v>
      </c>
      <c r="F58" s="33" t="s">
        <v>1499</v>
      </c>
      <c r="G58" s="33">
        <v>1</v>
      </c>
      <c r="H58" s="33"/>
      <c r="I58" s="33"/>
      <c r="J58" s="33">
        <v>7200000</v>
      </c>
      <c r="K58" s="33"/>
    </row>
    <row r="59" spans="1:11" x14ac:dyDescent="0.2">
      <c r="A59" s="33">
        <v>75</v>
      </c>
      <c r="B59" s="33" t="s">
        <v>246</v>
      </c>
      <c r="C59" s="33" t="s">
        <v>43</v>
      </c>
      <c r="D59" s="33" t="s">
        <v>1465</v>
      </c>
      <c r="E59" s="33" t="s">
        <v>1496</v>
      </c>
      <c r="F59" s="33" t="s">
        <v>1500</v>
      </c>
      <c r="G59" s="33">
        <v>1</v>
      </c>
      <c r="H59" s="33"/>
      <c r="I59" s="33"/>
      <c r="J59" s="33">
        <v>10300000</v>
      </c>
      <c r="K59" s="33"/>
    </row>
    <row r="60" spans="1:11" x14ac:dyDescent="0.2">
      <c r="A60" s="33">
        <v>76</v>
      </c>
      <c r="B60" s="33" t="s">
        <v>178</v>
      </c>
      <c r="C60" s="33" t="s">
        <v>179</v>
      </c>
      <c r="D60" s="33" t="s">
        <v>1465</v>
      </c>
      <c r="E60" s="33" t="s">
        <v>1489</v>
      </c>
      <c r="F60" s="33" t="s">
        <v>1490</v>
      </c>
      <c r="G60" s="33">
        <v>1</v>
      </c>
      <c r="H60" s="33"/>
      <c r="I60" s="33"/>
      <c r="J60" s="33">
        <v>900</v>
      </c>
      <c r="K60" s="33"/>
    </row>
    <row r="61" spans="1:11" x14ac:dyDescent="0.2">
      <c r="A61" s="33">
        <v>77</v>
      </c>
      <c r="B61" s="33" t="s">
        <v>254</v>
      </c>
      <c r="C61" s="33" t="s">
        <v>60</v>
      </c>
      <c r="D61" s="33" t="s">
        <v>1465</v>
      </c>
      <c r="E61" s="33" t="s">
        <v>1474</v>
      </c>
      <c r="F61" s="33" t="s">
        <v>1501</v>
      </c>
      <c r="G61" s="33">
        <v>1</v>
      </c>
      <c r="H61" s="33"/>
      <c r="I61" s="33"/>
      <c r="J61" s="33">
        <v>2000000</v>
      </c>
      <c r="K61" s="33"/>
    </row>
    <row r="62" spans="1:11" x14ac:dyDescent="0.2">
      <c r="A62" s="33">
        <v>78</v>
      </c>
      <c r="B62" s="33" t="s">
        <v>259</v>
      </c>
      <c r="C62" s="33" t="s">
        <v>179</v>
      </c>
      <c r="D62" s="33" t="s">
        <v>1465</v>
      </c>
      <c r="E62" s="33" t="s">
        <v>1489</v>
      </c>
      <c r="F62" s="33" t="s">
        <v>1502</v>
      </c>
      <c r="G62" s="33">
        <v>1</v>
      </c>
      <c r="H62" s="33"/>
      <c r="I62" s="33"/>
      <c r="J62" s="33">
        <v>39000</v>
      </c>
      <c r="K62" s="33"/>
    </row>
    <row r="63" spans="1:11" x14ac:dyDescent="0.2">
      <c r="A63" s="32">
        <v>79</v>
      </c>
      <c r="B63" s="32" t="s">
        <v>264</v>
      </c>
      <c r="C63" s="32" t="s">
        <v>43</v>
      </c>
      <c r="D63" s="32" t="s">
        <v>1463</v>
      </c>
      <c r="E63" s="32"/>
      <c r="F63" s="32"/>
      <c r="G63" s="32"/>
      <c r="H63" s="32"/>
      <c r="I63" s="32"/>
      <c r="J63" s="32">
        <v>0</v>
      </c>
      <c r="K63" s="32" t="s">
        <v>1464</v>
      </c>
    </row>
    <row r="64" spans="1:11" x14ac:dyDescent="0.2">
      <c r="A64" s="33">
        <v>80</v>
      </c>
      <c r="B64" s="33" t="s">
        <v>20</v>
      </c>
      <c r="C64" s="33" t="s">
        <v>21</v>
      </c>
      <c r="D64" s="33" t="s">
        <v>1465</v>
      </c>
      <c r="E64" s="33" t="s">
        <v>1466</v>
      </c>
      <c r="F64" s="33" t="s">
        <v>1467</v>
      </c>
      <c r="G64" s="33">
        <v>1</v>
      </c>
      <c r="H64" s="33"/>
      <c r="I64" s="33"/>
      <c r="J64" s="33">
        <v>15807.93</v>
      </c>
      <c r="K64" s="33"/>
    </row>
    <row r="65" spans="1:11" x14ac:dyDescent="0.2">
      <c r="A65" s="32">
        <v>81</v>
      </c>
      <c r="B65" s="32" t="s">
        <v>26</v>
      </c>
      <c r="C65" s="32" t="s">
        <v>21</v>
      </c>
      <c r="D65" s="32" t="s">
        <v>1468</v>
      </c>
      <c r="E65" s="32"/>
      <c r="F65" s="32"/>
      <c r="G65" s="32"/>
      <c r="H65" s="32"/>
      <c r="I65" s="32"/>
      <c r="J65" s="32">
        <v>0</v>
      </c>
      <c r="K65" s="32" t="s">
        <v>1469</v>
      </c>
    </row>
    <row r="66" spans="1:11" x14ac:dyDescent="0.2">
      <c r="A66" s="33">
        <v>82</v>
      </c>
      <c r="B66" s="33" t="s">
        <v>194</v>
      </c>
      <c r="C66" s="33" t="s">
        <v>32</v>
      </c>
      <c r="D66" s="33" t="s">
        <v>1465</v>
      </c>
      <c r="E66" s="33" t="s">
        <v>1470</v>
      </c>
      <c r="F66" s="33" t="s">
        <v>1491</v>
      </c>
      <c r="G66" s="33">
        <v>1</v>
      </c>
      <c r="H66" s="33"/>
      <c r="I66" s="33"/>
      <c r="J66" s="33">
        <v>54800</v>
      </c>
      <c r="K66" s="33"/>
    </row>
    <row r="67" spans="1:11" x14ac:dyDescent="0.2">
      <c r="A67" s="33">
        <v>83</v>
      </c>
      <c r="B67" s="33" t="s">
        <v>159</v>
      </c>
      <c r="C67" s="33" t="s">
        <v>32</v>
      </c>
      <c r="D67" s="33" t="s">
        <v>1465</v>
      </c>
      <c r="E67" s="33" t="s">
        <v>1470</v>
      </c>
      <c r="F67" s="33" t="s">
        <v>1486</v>
      </c>
      <c r="G67" s="33">
        <v>1</v>
      </c>
      <c r="H67" s="33"/>
      <c r="I67" s="33"/>
      <c r="J67" s="33">
        <v>45270</v>
      </c>
      <c r="K67" s="33"/>
    </row>
    <row r="68" spans="1:11" x14ac:dyDescent="0.2">
      <c r="A68" s="33">
        <v>84</v>
      </c>
      <c r="B68" s="33" t="s">
        <v>279</v>
      </c>
      <c r="C68" s="33" t="s">
        <v>32</v>
      </c>
      <c r="D68" s="33" t="s">
        <v>1465</v>
      </c>
      <c r="E68" s="33" t="s">
        <v>1470</v>
      </c>
      <c r="F68" s="33" t="s">
        <v>1503</v>
      </c>
      <c r="G68" s="33">
        <v>1</v>
      </c>
      <c r="H68" s="33"/>
      <c r="I68" s="33"/>
      <c r="J68" s="33">
        <v>637.55999999999995</v>
      </c>
      <c r="K68" s="33"/>
    </row>
    <row r="69" spans="1:11" x14ac:dyDescent="0.25">
      <c r="A69" s="33">
        <v>85</v>
      </c>
      <c r="B69" s="33" t="s">
        <v>284</v>
      </c>
      <c r="C69" s="33" t="s">
        <v>32</v>
      </c>
      <c r="D69" s="33" t="s">
        <v>1465</v>
      </c>
      <c r="E69" s="33" t="s">
        <v>1470</v>
      </c>
      <c r="F69" s="33" t="s">
        <v>1504</v>
      </c>
      <c r="G69" s="33">
        <v>1</v>
      </c>
      <c r="H69" s="33"/>
      <c r="I69" s="33"/>
      <c r="J69" s="33">
        <v>650</v>
      </c>
      <c r="K69" s="33"/>
    </row>
    <row r="70" spans="1:11" x14ac:dyDescent="0.25">
      <c r="A70" s="33">
        <v>86</v>
      </c>
      <c r="B70" s="33" t="s">
        <v>289</v>
      </c>
      <c r="C70" s="33" t="s">
        <v>32</v>
      </c>
      <c r="D70" s="33" t="s">
        <v>1465</v>
      </c>
      <c r="E70" s="33" t="s">
        <v>1470</v>
      </c>
      <c r="F70" s="33" t="s">
        <v>1505</v>
      </c>
      <c r="G70" s="33">
        <v>1</v>
      </c>
      <c r="H70" s="33"/>
      <c r="I70" s="33"/>
      <c r="J70" s="33">
        <v>25650</v>
      </c>
      <c r="K70" s="33"/>
    </row>
    <row r="71" spans="1:11" x14ac:dyDescent="0.25">
      <c r="A71" s="33">
        <v>87</v>
      </c>
      <c r="B71" s="33" t="s">
        <v>293</v>
      </c>
      <c r="C71" s="33" t="s">
        <v>32</v>
      </c>
      <c r="D71" s="33" t="s">
        <v>1465</v>
      </c>
      <c r="E71" s="33" t="s">
        <v>1470</v>
      </c>
      <c r="F71" s="33" t="s">
        <v>1506</v>
      </c>
      <c r="G71" s="33">
        <v>1</v>
      </c>
      <c r="H71" s="33"/>
      <c r="I71" s="33"/>
      <c r="J71" s="33">
        <v>874.37</v>
      </c>
      <c r="K71" s="33"/>
    </row>
    <row r="72" spans="1:11" x14ac:dyDescent="0.25">
      <c r="A72" s="33">
        <v>88</v>
      </c>
      <c r="B72" s="33" t="s">
        <v>298</v>
      </c>
      <c r="C72" s="33" t="s">
        <v>32</v>
      </c>
      <c r="D72" s="33" t="s">
        <v>1465</v>
      </c>
      <c r="E72" s="33" t="s">
        <v>1470</v>
      </c>
      <c r="F72" s="33" t="s">
        <v>1507</v>
      </c>
      <c r="G72" s="33">
        <v>1</v>
      </c>
      <c r="H72" s="33"/>
      <c r="I72" s="33"/>
      <c r="J72" s="33">
        <v>645</v>
      </c>
      <c r="K72" s="33"/>
    </row>
    <row r="73" spans="1:11" x14ac:dyDescent="0.25">
      <c r="A73" s="33">
        <v>89</v>
      </c>
      <c r="B73" s="33" t="s">
        <v>303</v>
      </c>
      <c r="C73" s="33" t="s">
        <v>60</v>
      </c>
      <c r="D73" s="33" t="s">
        <v>1465</v>
      </c>
      <c r="E73" s="33" t="s">
        <v>1474</v>
      </c>
      <c r="F73" s="33" t="s">
        <v>1508</v>
      </c>
      <c r="G73" s="33">
        <v>1</v>
      </c>
      <c r="H73" s="33"/>
      <c r="I73" s="33"/>
      <c r="J73" s="33">
        <v>4500</v>
      </c>
      <c r="K73" s="33"/>
    </row>
    <row r="74" spans="1:11" x14ac:dyDescent="0.25">
      <c r="A74" s="33">
        <v>90</v>
      </c>
      <c r="B74" s="33" t="s">
        <v>308</v>
      </c>
      <c r="C74" s="33" t="s">
        <v>43</v>
      </c>
      <c r="D74" s="33" t="s">
        <v>1465</v>
      </c>
      <c r="E74" s="33" t="s">
        <v>1496</v>
      </c>
      <c r="F74" s="33" t="s">
        <v>1509</v>
      </c>
      <c r="G74" s="33">
        <v>1</v>
      </c>
      <c r="H74" s="33"/>
      <c r="I74" s="33"/>
      <c r="J74" s="33">
        <v>5941000</v>
      </c>
      <c r="K74" s="33"/>
    </row>
    <row r="75" spans="1:11" x14ac:dyDescent="0.25">
      <c r="A75" s="33">
        <v>91</v>
      </c>
      <c r="B75" s="33" t="s">
        <v>313</v>
      </c>
      <c r="C75" s="33" t="s">
        <v>314</v>
      </c>
      <c r="D75" s="33" t="s">
        <v>1465</v>
      </c>
      <c r="E75" s="33" t="s">
        <v>1510</v>
      </c>
      <c r="F75" s="33" t="s">
        <v>1511</v>
      </c>
      <c r="G75" s="33">
        <v>1</v>
      </c>
      <c r="H75" s="33"/>
      <c r="I75" s="33"/>
      <c r="J75" s="33">
        <v>6500</v>
      </c>
      <c r="K75" s="33"/>
    </row>
    <row r="76" spans="1:11" x14ac:dyDescent="0.25">
      <c r="A76" s="33">
        <v>92</v>
      </c>
      <c r="B76" s="33" t="s">
        <v>319</v>
      </c>
      <c r="C76" s="33" t="s">
        <v>320</v>
      </c>
      <c r="D76" s="33" t="s">
        <v>1465</v>
      </c>
      <c r="E76" s="33" t="s">
        <v>1512</v>
      </c>
      <c r="F76" s="33" t="s">
        <v>1513</v>
      </c>
      <c r="G76" s="33">
        <v>1</v>
      </c>
      <c r="H76" s="33"/>
      <c r="I76" s="33"/>
      <c r="J76" s="33">
        <v>3200</v>
      </c>
      <c r="K76" s="33"/>
    </row>
    <row r="77" spans="1:11" x14ac:dyDescent="0.25">
      <c r="A77" s="33">
        <v>93</v>
      </c>
      <c r="B77" s="33" t="s">
        <v>325</v>
      </c>
      <c r="C77" s="33" t="s">
        <v>43</v>
      </c>
      <c r="D77" s="33" t="s">
        <v>1465</v>
      </c>
      <c r="E77" s="33" t="s">
        <v>1496</v>
      </c>
      <c r="F77" s="33" t="s">
        <v>1514</v>
      </c>
      <c r="G77" s="33">
        <v>1</v>
      </c>
      <c r="H77" s="33"/>
      <c r="I77" s="33"/>
      <c r="J77" s="33">
        <v>4600000</v>
      </c>
      <c r="K77" s="33"/>
    </row>
    <row r="78" spans="1:11" x14ac:dyDescent="0.25">
      <c r="A78" s="32">
        <v>96</v>
      </c>
      <c r="B78" s="32" t="s">
        <v>264</v>
      </c>
      <c r="C78" s="32" t="s">
        <v>43</v>
      </c>
      <c r="D78" s="32" t="s">
        <v>1463</v>
      </c>
      <c r="E78" s="32"/>
      <c r="F78" s="32"/>
      <c r="G78" s="32"/>
      <c r="H78" s="32"/>
      <c r="I78" s="32"/>
      <c r="J78" s="32">
        <v>0</v>
      </c>
      <c r="K78" s="32" t="s">
        <v>1464</v>
      </c>
    </row>
    <row r="79" spans="1:11" x14ac:dyDescent="0.25">
      <c r="A79" s="33">
        <v>97</v>
      </c>
      <c r="B79" s="33" t="s">
        <v>20</v>
      </c>
      <c r="C79" s="33" t="s">
        <v>21</v>
      </c>
      <c r="D79" s="33" t="s">
        <v>1465</v>
      </c>
      <c r="E79" s="33" t="s">
        <v>1466</v>
      </c>
      <c r="F79" s="33" t="s">
        <v>1467</v>
      </c>
      <c r="G79" s="33">
        <v>1</v>
      </c>
      <c r="H79" s="33"/>
      <c r="I79" s="33"/>
      <c r="J79" s="33">
        <v>15807.93</v>
      </c>
      <c r="K79" s="33"/>
    </row>
    <row r="80" spans="1:11" x14ac:dyDescent="0.25">
      <c r="A80" s="32">
        <v>98</v>
      </c>
      <c r="B80" s="32" t="s">
        <v>26</v>
      </c>
      <c r="C80" s="32" t="s">
        <v>21</v>
      </c>
      <c r="D80" s="32" t="s">
        <v>1468</v>
      </c>
      <c r="E80" s="32"/>
      <c r="F80" s="32"/>
      <c r="G80" s="32"/>
      <c r="H80" s="32"/>
      <c r="I80" s="32"/>
      <c r="J80" s="32">
        <v>0</v>
      </c>
      <c r="K80" s="32" t="s">
        <v>1469</v>
      </c>
    </row>
    <row r="81" spans="1:11" x14ac:dyDescent="0.25">
      <c r="A81" s="33">
        <v>99</v>
      </c>
      <c r="B81" s="33" t="s">
        <v>194</v>
      </c>
      <c r="C81" s="33" t="s">
        <v>32</v>
      </c>
      <c r="D81" s="33" t="s">
        <v>1465</v>
      </c>
      <c r="E81" s="33" t="s">
        <v>1470</v>
      </c>
      <c r="F81" s="33" t="s">
        <v>1491</v>
      </c>
      <c r="G81" s="33">
        <v>1</v>
      </c>
      <c r="H81" s="33"/>
      <c r="I81" s="33"/>
      <c r="J81" s="33">
        <v>54800</v>
      </c>
      <c r="K81" s="33"/>
    </row>
    <row r="82" spans="1:11" x14ac:dyDescent="0.25">
      <c r="A82" s="33">
        <v>100</v>
      </c>
      <c r="B82" s="33" t="s">
        <v>159</v>
      </c>
      <c r="C82" s="33" t="s">
        <v>32</v>
      </c>
      <c r="D82" s="33" t="s">
        <v>1465</v>
      </c>
      <c r="E82" s="33" t="s">
        <v>1470</v>
      </c>
      <c r="F82" s="33" t="s">
        <v>1486</v>
      </c>
      <c r="G82" s="33">
        <v>1</v>
      </c>
      <c r="H82" s="33"/>
      <c r="I82" s="33"/>
      <c r="J82" s="33">
        <v>45270</v>
      </c>
      <c r="K82" s="33"/>
    </row>
    <row r="83" spans="1:11" x14ac:dyDescent="0.25">
      <c r="A83" s="33">
        <v>101</v>
      </c>
      <c r="B83" s="33" t="s">
        <v>279</v>
      </c>
      <c r="C83" s="33" t="s">
        <v>32</v>
      </c>
      <c r="D83" s="33" t="s">
        <v>1465</v>
      </c>
      <c r="E83" s="33" t="s">
        <v>1470</v>
      </c>
      <c r="F83" s="33" t="s">
        <v>1503</v>
      </c>
      <c r="G83" s="33">
        <v>1</v>
      </c>
      <c r="H83" s="33"/>
      <c r="I83" s="33"/>
      <c r="J83" s="33">
        <v>637.55999999999995</v>
      </c>
      <c r="K83" s="33"/>
    </row>
    <row r="84" spans="1:11" x14ac:dyDescent="0.25">
      <c r="A84" s="33">
        <v>102</v>
      </c>
      <c r="B84" s="33" t="s">
        <v>284</v>
      </c>
      <c r="C84" s="33" t="s">
        <v>32</v>
      </c>
      <c r="D84" s="33" t="s">
        <v>1465</v>
      </c>
      <c r="E84" s="33" t="s">
        <v>1470</v>
      </c>
      <c r="F84" s="33" t="s">
        <v>1504</v>
      </c>
      <c r="G84" s="33">
        <v>1</v>
      </c>
      <c r="H84" s="33"/>
      <c r="I84" s="33"/>
      <c r="J84" s="33">
        <v>650</v>
      </c>
      <c r="K84" s="33"/>
    </row>
    <row r="85" spans="1:11" x14ac:dyDescent="0.25">
      <c r="A85" s="33">
        <v>103</v>
      </c>
      <c r="B85" s="33" t="s">
        <v>289</v>
      </c>
      <c r="C85" s="33" t="s">
        <v>32</v>
      </c>
      <c r="D85" s="33" t="s">
        <v>1465</v>
      </c>
      <c r="E85" s="33" t="s">
        <v>1470</v>
      </c>
      <c r="F85" s="33" t="s">
        <v>1505</v>
      </c>
      <c r="G85" s="33">
        <v>1</v>
      </c>
      <c r="H85" s="33"/>
      <c r="I85" s="33"/>
      <c r="J85" s="33">
        <v>25650</v>
      </c>
      <c r="K85" s="33"/>
    </row>
    <row r="86" spans="1:11" x14ac:dyDescent="0.25">
      <c r="A86" s="33">
        <v>104</v>
      </c>
      <c r="B86" s="33" t="s">
        <v>293</v>
      </c>
      <c r="C86" s="33" t="s">
        <v>32</v>
      </c>
      <c r="D86" s="33" t="s">
        <v>1465</v>
      </c>
      <c r="E86" s="33" t="s">
        <v>1470</v>
      </c>
      <c r="F86" s="33" t="s">
        <v>1506</v>
      </c>
      <c r="G86" s="33">
        <v>1</v>
      </c>
      <c r="H86" s="33"/>
      <c r="I86" s="33"/>
      <c r="J86" s="33">
        <v>874.37</v>
      </c>
      <c r="K86" s="33"/>
    </row>
    <row r="87" spans="1:11" x14ac:dyDescent="0.25">
      <c r="A87" s="33">
        <v>105</v>
      </c>
      <c r="B87" s="33" t="s">
        <v>298</v>
      </c>
      <c r="C87" s="33" t="s">
        <v>32</v>
      </c>
      <c r="D87" s="33" t="s">
        <v>1465</v>
      </c>
      <c r="E87" s="33" t="s">
        <v>1470</v>
      </c>
      <c r="F87" s="33" t="s">
        <v>1507</v>
      </c>
      <c r="G87" s="33">
        <v>1</v>
      </c>
      <c r="H87" s="33"/>
      <c r="I87" s="33"/>
      <c r="J87" s="33">
        <v>645</v>
      </c>
      <c r="K87" s="33"/>
    </row>
    <row r="88" spans="1:11" x14ac:dyDescent="0.25">
      <c r="A88" s="33">
        <v>106</v>
      </c>
      <c r="B88" s="33" t="s">
        <v>303</v>
      </c>
      <c r="C88" s="33" t="s">
        <v>60</v>
      </c>
      <c r="D88" s="33" t="s">
        <v>1465</v>
      </c>
      <c r="E88" s="33" t="s">
        <v>1474</v>
      </c>
      <c r="F88" s="33" t="s">
        <v>1508</v>
      </c>
      <c r="G88" s="33">
        <v>1</v>
      </c>
      <c r="H88" s="33"/>
      <c r="I88" s="33"/>
      <c r="J88" s="33">
        <v>4500</v>
      </c>
      <c r="K88" s="33"/>
    </row>
    <row r="89" spans="1:11" x14ac:dyDescent="0.25">
      <c r="A89" s="33">
        <v>107</v>
      </c>
      <c r="B89" s="33" t="s">
        <v>308</v>
      </c>
      <c r="C89" s="33" t="s">
        <v>43</v>
      </c>
      <c r="D89" s="33" t="s">
        <v>1465</v>
      </c>
      <c r="E89" s="33" t="s">
        <v>1496</v>
      </c>
      <c r="F89" s="33" t="s">
        <v>1509</v>
      </c>
      <c r="G89" s="33">
        <v>1</v>
      </c>
      <c r="H89" s="33"/>
      <c r="I89" s="33"/>
      <c r="J89" s="33">
        <v>5941000</v>
      </c>
      <c r="K89" s="33"/>
    </row>
    <row r="90" spans="1:11" x14ac:dyDescent="0.25">
      <c r="A90" s="33">
        <v>108</v>
      </c>
      <c r="B90" s="33" t="s">
        <v>313</v>
      </c>
      <c r="C90" s="33" t="s">
        <v>314</v>
      </c>
      <c r="D90" s="33" t="s">
        <v>1465</v>
      </c>
      <c r="E90" s="33" t="s">
        <v>1510</v>
      </c>
      <c r="F90" s="33" t="s">
        <v>1511</v>
      </c>
      <c r="G90" s="33">
        <v>1</v>
      </c>
      <c r="H90" s="33"/>
      <c r="I90" s="33"/>
      <c r="J90" s="33">
        <v>6500</v>
      </c>
      <c r="K90" s="33"/>
    </row>
    <row r="91" spans="1:11" x14ac:dyDescent="0.25">
      <c r="A91" s="33">
        <v>109</v>
      </c>
      <c r="B91" s="33" t="s">
        <v>319</v>
      </c>
      <c r="C91" s="33" t="s">
        <v>320</v>
      </c>
      <c r="D91" s="33" t="s">
        <v>1465</v>
      </c>
      <c r="E91" s="33" t="s">
        <v>1512</v>
      </c>
      <c r="F91" s="33" t="s">
        <v>1513</v>
      </c>
      <c r="G91" s="33">
        <v>1</v>
      </c>
      <c r="H91" s="33"/>
      <c r="I91" s="33"/>
      <c r="J91" s="33">
        <v>3200</v>
      </c>
      <c r="K91" s="33"/>
    </row>
    <row r="92" spans="1:11" x14ac:dyDescent="0.25">
      <c r="A92" s="33">
        <v>110</v>
      </c>
      <c r="B92" s="33" t="s">
        <v>358</v>
      </c>
      <c r="C92" s="33" t="s">
        <v>43</v>
      </c>
      <c r="D92" s="33" t="s">
        <v>1465</v>
      </c>
      <c r="E92" s="33" t="s">
        <v>1496</v>
      </c>
      <c r="F92" s="33" t="s">
        <v>1515</v>
      </c>
      <c r="G92" s="33">
        <v>1</v>
      </c>
      <c r="H92" s="33"/>
      <c r="I92" s="33"/>
      <c r="J92" s="33">
        <v>4600000</v>
      </c>
      <c r="K92" s="33"/>
    </row>
    <row r="93" spans="1:11" x14ac:dyDescent="0.25">
      <c r="A93" s="33">
        <v>111</v>
      </c>
      <c r="B93" s="33" t="s">
        <v>362</v>
      </c>
      <c r="C93" s="33" t="s">
        <v>43</v>
      </c>
      <c r="D93" s="33" t="s">
        <v>1465</v>
      </c>
      <c r="E93" s="33" t="s">
        <v>1496</v>
      </c>
      <c r="F93" s="33" t="s">
        <v>1516</v>
      </c>
      <c r="G93" s="33">
        <v>1</v>
      </c>
      <c r="H93" s="33"/>
      <c r="I93" s="33"/>
      <c r="J93" s="33">
        <v>4600000</v>
      </c>
      <c r="K93" s="33"/>
    </row>
    <row r="94" spans="1:11" x14ac:dyDescent="0.25">
      <c r="A94" s="32">
        <v>114</v>
      </c>
      <c r="B94" s="32" t="s">
        <v>264</v>
      </c>
      <c r="C94" s="32" t="s">
        <v>43</v>
      </c>
      <c r="D94" s="32" t="s">
        <v>1463</v>
      </c>
      <c r="E94" s="32"/>
      <c r="F94" s="32"/>
      <c r="G94" s="32"/>
      <c r="H94" s="32"/>
      <c r="I94" s="32"/>
      <c r="J94" s="32">
        <v>0</v>
      </c>
      <c r="K94" s="32" t="s">
        <v>1464</v>
      </c>
    </row>
    <row r="95" spans="1:11" x14ac:dyDescent="0.25">
      <c r="A95" s="33">
        <v>115</v>
      </c>
      <c r="B95" s="33" t="s">
        <v>20</v>
      </c>
      <c r="C95" s="33" t="s">
        <v>21</v>
      </c>
      <c r="D95" s="33" t="s">
        <v>1465</v>
      </c>
      <c r="E95" s="33" t="s">
        <v>1466</v>
      </c>
      <c r="F95" s="33" t="s">
        <v>1467</v>
      </c>
      <c r="G95" s="33">
        <v>1</v>
      </c>
      <c r="H95" s="33"/>
      <c r="I95" s="33"/>
      <c r="J95" s="33">
        <v>15807.93</v>
      </c>
      <c r="K95" s="33"/>
    </row>
    <row r="96" spans="1:11" x14ac:dyDescent="0.25">
      <c r="A96" s="32">
        <v>116</v>
      </c>
      <c r="B96" s="32" t="s">
        <v>26</v>
      </c>
      <c r="C96" s="32" t="s">
        <v>21</v>
      </c>
      <c r="D96" s="32" t="s">
        <v>1468</v>
      </c>
      <c r="E96" s="32"/>
      <c r="F96" s="32"/>
      <c r="G96" s="32"/>
      <c r="H96" s="32"/>
      <c r="I96" s="32"/>
      <c r="J96" s="32">
        <v>0</v>
      </c>
      <c r="K96" s="32" t="s">
        <v>1469</v>
      </c>
    </row>
    <row r="97" spans="1:11" x14ac:dyDescent="0.25">
      <c r="A97" s="33">
        <v>117</v>
      </c>
      <c r="B97" s="33" t="s">
        <v>194</v>
      </c>
      <c r="C97" s="33" t="s">
        <v>32</v>
      </c>
      <c r="D97" s="33" t="s">
        <v>1465</v>
      </c>
      <c r="E97" s="33" t="s">
        <v>1470</v>
      </c>
      <c r="F97" s="33" t="s">
        <v>1491</v>
      </c>
      <c r="G97" s="33">
        <v>1</v>
      </c>
      <c r="H97" s="33"/>
      <c r="I97" s="33"/>
      <c r="J97" s="33">
        <v>54800</v>
      </c>
      <c r="K97" s="33"/>
    </row>
    <row r="98" spans="1:11" x14ac:dyDescent="0.25">
      <c r="A98" s="33">
        <v>118</v>
      </c>
      <c r="B98" s="33" t="s">
        <v>159</v>
      </c>
      <c r="C98" s="33" t="s">
        <v>32</v>
      </c>
      <c r="D98" s="33" t="s">
        <v>1465</v>
      </c>
      <c r="E98" s="33" t="s">
        <v>1470</v>
      </c>
      <c r="F98" s="33" t="s">
        <v>1486</v>
      </c>
      <c r="G98" s="33">
        <v>1</v>
      </c>
      <c r="H98" s="33"/>
      <c r="I98" s="33"/>
      <c r="J98" s="33">
        <v>45270</v>
      </c>
      <c r="K98" s="33"/>
    </row>
    <row r="99" spans="1:11" x14ac:dyDescent="0.25">
      <c r="A99" s="33">
        <v>119</v>
      </c>
      <c r="B99" s="33" t="s">
        <v>279</v>
      </c>
      <c r="C99" s="33" t="s">
        <v>32</v>
      </c>
      <c r="D99" s="33" t="s">
        <v>1465</v>
      </c>
      <c r="E99" s="33" t="s">
        <v>1470</v>
      </c>
      <c r="F99" s="33" t="s">
        <v>1503</v>
      </c>
      <c r="G99" s="33">
        <v>1</v>
      </c>
      <c r="H99" s="33"/>
      <c r="I99" s="33"/>
      <c r="J99" s="33">
        <v>637.55999999999995</v>
      </c>
      <c r="K99" s="33"/>
    </row>
    <row r="100" spans="1:11" x14ac:dyDescent="0.25">
      <c r="A100" s="33">
        <v>120</v>
      </c>
      <c r="B100" s="33" t="s">
        <v>284</v>
      </c>
      <c r="C100" s="33" t="s">
        <v>32</v>
      </c>
      <c r="D100" s="33" t="s">
        <v>1465</v>
      </c>
      <c r="E100" s="33" t="s">
        <v>1470</v>
      </c>
      <c r="F100" s="33" t="s">
        <v>1504</v>
      </c>
      <c r="G100" s="33">
        <v>1</v>
      </c>
      <c r="H100" s="33"/>
      <c r="I100" s="33"/>
      <c r="J100" s="33">
        <v>650</v>
      </c>
      <c r="K100" s="33"/>
    </row>
    <row r="101" spans="1:11" x14ac:dyDescent="0.25">
      <c r="A101" s="33">
        <v>121</v>
      </c>
      <c r="B101" s="33" t="s">
        <v>289</v>
      </c>
      <c r="C101" s="33" t="s">
        <v>32</v>
      </c>
      <c r="D101" s="33" t="s">
        <v>1465</v>
      </c>
      <c r="E101" s="33" t="s">
        <v>1470</v>
      </c>
      <c r="F101" s="33" t="s">
        <v>1505</v>
      </c>
      <c r="G101" s="33">
        <v>1</v>
      </c>
      <c r="H101" s="33"/>
      <c r="I101" s="33"/>
      <c r="J101" s="33">
        <v>25650</v>
      </c>
      <c r="K101" s="33"/>
    </row>
    <row r="102" spans="1:11" x14ac:dyDescent="0.25">
      <c r="A102" s="33">
        <v>122</v>
      </c>
      <c r="B102" s="33" t="s">
        <v>293</v>
      </c>
      <c r="C102" s="33" t="s">
        <v>32</v>
      </c>
      <c r="D102" s="33" t="s">
        <v>1465</v>
      </c>
      <c r="E102" s="33" t="s">
        <v>1470</v>
      </c>
      <c r="F102" s="33" t="s">
        <v>1506</v>
      </c>
      <c r="G102" s="33">
        <v>1</v>
      </c>
      <c r="H102" s="33"/>
      <c r="I102" s="33"/>
      <c r="J102" s="33">
        <v>874.37</v>
      </c>
      <c r="K102" s="33"/>
    </row>
    <row r="103" spans="1:11" x14ac:dyDescent="0.25">
      <c r="A103" s="33">
        <v>123</v>
      </c>
      <c r="B103" s="33" t="s">
        <v>298</v>
      </c>
      <c r="C103" s="33" t="s">
        <v>32</v>
      </c>
      <c r="D103" s="33" t="s">
        <v>1465</v>
      </c>
      <c r="E103" s="33" t="s">
        <v>1470</v>
      </c>
      <c r="F103" s="33" t="s">
        <v>1507</v>
      </c>
      <c r="G103" s="33">
        <v>1</v>
      </c>
      <c r="H103" s="33"/>
      <c r="I103" s="33"/>
      <c r="J103" s="33">
        <v>645</v>
      </c>
      <c r="K103" s="33"/>
    </row>
    <row r="104" spans="1:11" x14ac:dyDescent="0.25">
      <c r="A104" s="33">
        <v>124</v>
      </c>
      <c r="B104" s="33" t="s">
        <v>303</v>
      </c>
      <c r="C104" s="33" t="s">
        <v>60</v>
      </c>
      <c r="D104" s="33" t="s">
        <v>1465</v>
      </c>
      <c r="E104" s="33" t="s">
        <v>1474</v>
      </c>
      <c r="F104" s="33" t="s">
        <v>1508</v>
      </c>
      <c r="G104" s="33">
        <v>1</v>
      </c>
      <c r="H104" s="33"/>
      <c r="I104" s="33"/>
      <c r="J104" s="33">
        <v>4500</v>
      </c>
      <c r="K104" s="33"/>
    </row>
    <row r="105" spans="1:11" x14ac:dyDescent="0.25">
      <c r="A105" s="33">
        <v>125</v>
      </c>
      <c r="B105" s="33" t="s">
        <v>308</v>
      </c>
      <c r="C105" s="33" t="s">
        <v>43</v>
      </c>
      <c r="D105" s="33" t="s">
        <v>1465</v>
      </c>
      <c r="E105" s="33" t="s">
        <v>1496</v>
      </c>
      <c r="F105" s="33" t="s">
        <v>1509</v>
      </c>
      <c r="G105" s="33">
        <v>1</v>
      </c>
      <c r="H105" s="33"/>
      <c r="I105" s="33"/>
      <c r="J105" s="33">
        <v>5941000</v>
      </c>
      <c r="K105" s="33"/>
    </row>
    <row r="106" spans="1:11" x14ac:dyDescent="0.25">
      <c r="A106" s="33">
        <v>126</v>
      </c>
      <c r="B106" s="33" t="s">
        <v>313</v>
      </c>
      <c r="C106" s="33" t="s">
        <v>314</v>
      </c>
      <c r="D106" s="33" t="s">
        <v>1465</v>
      </c>
      <c r="E106" s="33" t="s">
        <v>1510</v>
      </c>
      <c r="F106" s="33" t="s">
        <v>1511</v>
      </c>
      <c r="G106" s="33">
        <v>1</v>
      </c>
      <c r="H106" s="33"/>
      <c r="I106" s="33"/>
      <c r="J106" s="33">
        <v>6500</v>
      </c>
      <c r="K106" s="33"/>
    </row>
    <row r="107" spans="1:11" x14ac:dyDescent="0.25">
      <c r="A107" s="33">
        <v>127</v>
      </c>
      <c r="B107" s="33" t="s">
        <v>319</v>
      </c>
      <c r="C107" s="33" t="s">
        <v>320</v>
      </c>
      <c r="D107" s="33" t="s">
        <v>1465</v>
      </c>
      <c r="E107" s="33" t="s">
        <v>1512</v>
      </c>
      <c r="F107" s="33" t="s">
        <v>1513</v>
      </c>
      <c r="G107" s="33">
        <v>1</v>
      </c>
      <c r="H107" s="33"/>
      <c r="I107" s="33"/>
      <c r="J107" s="33">
        <v>3200</v>
      </c>
      <c r="K107" s="33"/>
    </row>
    <row r="108" spans="1:11" x14ac:dyDescent="0.25">
      <c r="A108" s="33">
        <v>128</v>
      </c>
      <c r="B108" s="33" t="s">
        <v>325</v>
      </c>
      <c r="C108" s="33" t="s">
        <v>43</v>
      </c>
      <c r="D108" s="33" t="s">
        <v>1465</v>
      </c>
      <c r="E108" s="33" t="s">
        <v>1496</v>
      </c>
      <c r="F108" s="33" t="s">
        <v>1514</v>
      </c>
      <c r="G108" s="33">
        <v>1</v>
      </c>
      <c r="H108" s="33"/>
      <c r="I108" s="33"/>
      <c r="J108" s="33">
        <v>4600000</v>
      </c>
      <c r="K108" s="33"/>
    </row>
    <row r="109" spans="1:11" x14ac:dyDescent="0.25">
      <c r="A109" s="33">
        <v>129</v>
      </c>
      <c r="B109" s="33" t="s">
        <v>362</v>
      </c>
      <c r="C109" s="33" t="s">
        <v>43</v>
      </c>
      <c r="D109" s="33" t="s">
        <v>1465</v>
      </c>
      <c r="E109" s="33" t="s">
        <v>1496</v>
      </c>
      <c r="F109" s="33" t="s">
        <v>1516</v>
      </c>
      <c r="G109" s="33">
        <v>1</v>
      </c>
      <c r="H109" s="33"/>
      <c r="I109" s="33"/>
      <c r="J109" s="33">
        <v>4600000</v>
      </c>
      <c r="K109" s="33"/>
    </row>
    <row r="110" spans="1:11" x14ac:dyDescent="0.25">
      <c r="A110" s="32">
        <v>132</v>
      </c>
      <c r="B110" s="32" t="s">
        <v>264</v>
      </c>
      <c r="C110" s="32" t="s">
        <v>43</v>
      </c>
      <c r="D110" s="32" t="s">
        <v>1463</v>
      </c>
      <c r="E110" s="32"/>
      <c r="F110" s="32"/>
      <c r="G110" s="32"/>
      <c r="H110" s="32"/>
      <c r="I110" s="32"/>
      <c r="J110" s="32">
        <v>0</v>
      </c>
      <c r="K110" s="32" t="s">
        <v>1464</v>
      </c>
    </row>
    <row r="111" spans="1:11" x14ac:dyDescent="0.25">
      <c r="A111" s="33">
        <v>133</v>
      </c>
      <c r="B111" s="33" t="s">
        <v>20</v>
      </c>
      <c r="C111" s="33" t="s">
        <v>21</v>
      </c>
      <c r="D111" s="33" t="s">
        <v>1465</v>
      </c>
      <c r="E111" s="33" t="s">
        <v>1466</v>
      </c>
      <c r="F111" s="33" t="s">
        <v>1467</v>
      </c>
      <c r="G111" s="33">
        <v>1</v>
      </c>
      <c r="H111" s="33"/>
      <c r="I111" s="33"/>
      <c r="J111" s="33">
        <v>15807.93</v>
      </c>
      <c r="K111" s="33"/>
    </row>
    <row r="112" spans="1:11" x14ac:dyDescent="0.25">
      <c r="A112" s="32">
        <v>134</v>
      </c>
      <c r="B112" s="32" t="s">
        <v>26</v>
      </c>
      <c r="C112" s="32" t="s">
        <v>21</v>
      </c>
      <c r="D112" s="32" t="s">
        <v>1468</v>
      </c>
      <c r="E112" s="32"/>
      <c r="F112" s="32"/>
      <c r="G112" s="32"/>
      <c r="H112" s="32"/>
      <c r="I112" s="32"/>
      <c r="J112" s="32">
        <v>0</v>
      </c>
      <c r="K112" s="32" t="s">
        <v>1469</v>
      </c>
    </row>
    <row r="113" spans="1:11" x14ac:dyDescent="0.25">
      <c r="A113" s="33">
        <v>135</v>
      </c>
      <c r="B113" s="33" t="s">
        <v>194</v>
      </c>
      <c r="C113" s="33" t="s">
        <v>32</v>
      </c>
      <c r="D113" s="33" t="s">
        <v>1465</v>
      </c>
      <c r="E113" s="33" t="s">
        <v>1470</v>
      </c>
      <c r="F113" s="33" t="s">
        <v>1491</v>
      </c>
      <c r="G113" s="33">
        <v>1</v>
      </c>
      <c r="H113" s="33"/>
      <c r="I113" s="33"/>
      <c r="J113" s="33">
        <v>54800</v>
      </c>
      <c r="K113" s="33"/>
    </row>
    <row r="114" spans="1:11" x14ac:dyDescent="0.25">
      <c r="A114" s="33">
        <v>136</v>
      </c>
      <c r="B114" s="33" t="s">
        <v>159</v>
      </c>
      <c r="C114" s="33" t="s">
        <v>32</v>
      </c>
      <c r="D114" s="33" t="s">
        <v>1465</v>
      </c>
      <c r="E114" s="33" t="s">
        <v>1470</v>
      </c>
      <c r="F114" s="33" t="s">
        <v>1486</v>
      </c>
      <c r="G114" s="33">
        <v>1</v>
      </c>
      <c r="H114" s="33"/>
      <c r="I114" s="33"/>
      <c r="J114" s="33">
        <v>45270</v>
      </c>
      <c r="K114" s="33"/>
    </row>
    <row r="115" spans="1:11" x14ac:dyDescent="0.25">
      <c r="A115" s="33">
        <v>137</v>
      </c>
      <c r="B115" s="33" t="s">
        <v>279</v>
      </c>
      <c r="C115" s="33" t="s">
        <v>32</v>
      </c>
      <c r="D115" s="33" t="s">
        <v>1465</v>
      </c>
      <c r="E115" s="33" t="s">
        <v>1470</v>
      </c>
      <c r="F115" s="33" t="s">
        <v>1503</v>
      </c>
      <c r="G115" s="33">
        <v>1</v>
      </c>
      <c r="H115" s="33"/>
      <c r="I115" s="33"/>
      <c r="J115" s="33">
        <v>637.55999999999995</v>
      </c>
      <c r="K115" s="33"/>
    </row>
    <row r="116" spans="1:11" x14ac:dyDescent="0.25">
      <c r="A116" s="33">
        <v>138</v>
      </c>
      <c r="B116" s="33" t="s">
        <v>284</v>
      </c>
      <c r="C116" s="33" t="s">
        <v>32</v>
      </c>
      <c r="D116" s="33" t="s">
        <v>1465</v>
      </c>
      <c r="E116" s="33" t="s">
        <v>1470</v>
      </c>
      <c r="F116" s="33" t="s">
        <v>1504</v>
      </c>
      <c r="G116" s="33">
        <v>1</v>
      </c>
      <c r="H116" s="33"/>
      <c r="I116" s="33"/>
      <c r="J116" s="33">
        <v>650</v>
      </c>
      <c r="K116" s="33"/>
    </row>
    <row r="117" spans="1:11" x14ac:dyDescent="0.25">
      <c r="A117" s="33">
        <v>139</v>
      </c>
      <c r="B117" s="33" t="s">
        <v>289</v>
      </c>
      <c r="C117" s="33" t="s">
        <v>32</v>
      </c>
      <c r="D117" s="33" t="s">
        <v>1465</v>
      </c>
      <c r="E117" s="33" t="s">
        <v>1470</v>
      </c>
      <c r="F117" s="33" t="s">
        <v>1505</v>
      </c>
      <c r="G117" s="33">
        <v>1</v>
      </c>
      <c r="H117" s="33"/>
      <c r="I117" s="33"/>
      <c r="J117" s="33">
        <v>25650</v>
      </c>
      <c r="K117" s="33"/>
    </row>
    <row r="118" spans="1:11" x14ac:dyDescent="0.25">
      <c r="A118" s="33">
        <v>140</v>
      </c>
      <c r="B118" s="33" t="s">
        <v>293</v>
      </c>
      <c r="C118" s="33" t="s">
        <v>32</v>
      </c>
      <c r="D118" s="33" t="s">
        <v>1465</v>
      </c>
      <c r="E118" s="33" t="s">
        <v>1470</v>
      </c>
      <c r="F118" s="33" t="s">
        <v>1506</v>
      </c>
      <c r="G118" s="33">
        <v>1</v>
      </c>
      <c r="H118" s="33"/>
      <c r="I118" s="33"/>
      <c r="J118" s="33">
        <v>874.37</v>
      </c>
      <c r="K118" s="33"/>
    </row>
    <row r="119" spans="1:11" x14ac:dyDescent="0.25">
      <c r="A119" s="33">
        <v>141</v>
      </c>
      <c r="B119" s="33" t="s">
        <v>298</v>
      </c>
      <c r="C119" s="33" t="s">
        <v>32</v>
      </c>
      <c r="D119" s="33" t="s">
        <v>1465</v>
      </c>
      <c r="E119" s="33" t="s">
        <v>1470</v>
      </c>
      <c r="F119" s="33" t="s">
        <v>1507</v>
      </c>
      <c r="G119" s="33">
        <v>1</v>
      </c>
      <c r="H119" s="33"/>
      <c r="I119" s="33"/>
      <c r="J119" s="33">
        <v>645</v>
      </c>
      <c r="K119" s="33"/>
    </row>
    <row r="120" spans="1:11" x14ac:dyDescent="0.25">
      <c r="A120" s="33">
        <v>142</v>
      </c>
      <c r="B120" s="33" t="s">
        <v>303</v>
      </c>
      <c r="C120" s="33" t="s">
        <v>60</v>
      </c>
      <c r="D120" s="33" t="s">
        <v>1465</v>
      </c>
      <c r="E120" s="33" t="s">
        <v>1474</v>
      </c>
      <c r="F120" s="33" t="s">
        <v>1508</v>
      </c>
      <c r="G120" s="33">
        <v>1</v>
      </c>
      <c r="H120" s="33"/>
      <c r="I120" s="33"/>
      <c r="J120" s="33">
        <v>4500</v>
      </c>
      <c r="K120" s="33"/>
    </row>
    <row r="121" spans="1:11" x14ac:dyDescent="0.25">
      <c r="A121" s="33">
        <v>143</v>
      </c>
      <c r="B121" s="33" t="s">
        <v>308</v>
      </c>
      <c r="C121" s="33" t="s">
        <v>43</v>
      </c>
      <c r="D121" s="33" t="s">
        <v>1465</v>
      </c>
      <c r="E121" s="33" t="s">
        <v>1496</v>
      </c>
      <c r="F121" s="33" t="s">
        <v>1509</v>
      </c>
      <c r="G121" s="33">
        <v>1</v>
      </c>
      <c r="H121" s="33"/>
      <c r="I121" s="33"/>
      <c r="J121" s="33">
        <v>5941000</v>
      </c>
      <c r="K121" s="33"/>
    </row>
    <row r="122" spans="1:11" x14ac:dyDescent="0.25">
      <c r="A122" s="33">
        <v>144</v>
      </c>
      <c r="B122" s="33" t="s">
        <v>313</v>
      </c>
      <c r="C122" s="33" t="s">
        <v>314</v>
      </c>
      <c r="D122" s="33" t="s">
        <v>1465</v>
      </c>
      <c r="E122" s="33" t="s">
        <v>1510</v>
      </c>
      <c r="F122" s="33" t="s">
        <v>1511</v>
      </c>
      <c r="G122" s="33">
        <v>1</v>
      </c>
      <c r="H122" s="33"/>
      <c r="I122" s="33"/>
      <c r="J122" s="33">
        <v>6500</v>
      </c>
      <c r="K122" s="33"/>
    </row>
    <row r="123" spans="1:11" x14ac:dyDescent="0.25">
      <c r="A123" s="33">
        <v>145</v>
      </c>
      <c r="B123" s="33" t="s">
        <v>319</v>
      </c>
      <c r="C123" s="33" t="s">
        <v>320</v>
      </c>
      <c r="D123" s="33" t="s">
        <v>1465</v>
      </c>
      <c r="E123" s="33" t="s">
        <v>1512</v>
      </c>
      <c r="F123" s="33" t="s">
        <v>1513</v>
      </c>
      <c r="G123" s="33">
        <v>1</v>
      </c>
      <c r="H123" s="33"/>
      <c r="I123" s="33"/>
      <c r="J123" s="33">
        <v>3200</v>
      </c>
      <c r="K123" s="33"/>
    </row>
    <row r="124" spans="1:11" x14ac:dyDescent="0.25">
      <c r="A124" s="33">
        <v>146</v>
      </c>
      <c r="B124" s="33" t="s">
        <v>325</v>
      </c>
      <c r="C124" s="33" t="s">
        <v>43</v>
      </c>
      <c r="D124" s="33" t="s">
        <v>1465</v>
      </c>
      <c r="E124" s="33" t="s">
        <v>1496</v>
      </c>
      <c r="F124" s="33" t="s">
        <v>1514</v>
      </c>
      <c r="G124" s="33">
        <v>1</v>
      </c>
      <c r="H124" s="33"/>
      <c r="I124" s="33"/>
      <c r="J124" s="33">
        <v>4600000</v>
      </c>
      <c r="K124" s="33"/>
    </row>
    <row r="125" spans="1:11" x14ac:dyDescent="0.25">
      <c r="A125" s="33">
        <v>147</v>
      </c>
      <c r="B125" s="33" t="s">
        <v>362</v>
      </c>
      <c r="C125" s="33" t="s">
        <v>43</v>
      </c>
      <c r="D125" s="33" t="s">
        <v>1465</v>
      </c>
      <c r="E125" s="33" t="s">
        <v>1496</v>
      </c>
      <c r="F125" s="33" t="s">
        <v>1516</v>
      </c>
      <c r="G125" s="33">
        <v>1</v>
      </c>
      <c r="H125" s="33"/>
      <c r="I125" s="33"/>
      <c r="J125" s="33">
        <v>4600000</v>
      </c>
      <c r="K125" s="33"/>
    </row>
    <row r="126" spans="1:11" x14ac:dyDescent="0.25">
      <c r="A126" s="32">
        <v>150</v>
      </c>
      <c r="B126" s="32" t="s">
        <v>264</v>
      </c>
      <c r="C126" s="32" t="s">
        <v>43</v>
      </c>
      <c r="D126" s="32" t="s">
        <v>1463</v>
      </c>
      <c r="E126" s="32"/>
      <c r="F126" s="32"/>
      <c r="G126" s="32"/>
      <c r="H126" s="32"/>
      <c r="I126" s="32"/>
      <c r="J126" s="32">
        <v>0</v>
      </c>
      <c r="K126" s="32" t="s">
        <v>1464</v>
      </c>
    </row>
    <row r="127" spans="1:11" x14ac:dyDescent="0.25">
      <c r="A127" s="33">
        <v>151</v>
      </c>
      <c r="B127" s="33" t="s">
        <v>20</v>
      </c>
      <c r="C127" s="33" t="s">
        <v>21</v>
      </c>
      <c r="D127" s="33" t="s">
        <v>1465</v>
      </c>
      <c r="E127" s="33" t="s">
        <v>1466</v>
      </c>
      <c r="F127" s="33" t="s">
        <v>1467</v>
      </c>
      <c r="G127" s="33">
        <v>1</v>
      </c>
      <c r="H127" s="33"/>
      <c r="I127" s="33"/>
      <c r="J127" s="33">
        <v>15807.93</v>
      </c>
      <c r="K127" s="33"/>
    </row>
    <row r="128" spans="1:11" x14ac:dyDescent="0.25">
      <c r="A128" s="32">
        <v>152</v>
      </c>
      <c r="B128" s="32" t="s">
        <v>26</v>
      </c>
      <c r="C128" s="32" t="s">
        <v>21</v>
      </c>
      <c r="D128" s="32" t="s">
        <v>1468</v>
      </c>
      <c r="E128" s="32"/>
      <c r="F128" s="32"/>
      <c r="G128" s="32"/>
      <c r="H128" s="32"/>
      <c r="I128" s="32"/>
      <c r="J128" s="32">
        <v>0</v>
      </c>
      <c r="K128" s="32" t="s">
        <v>1469</v>
      </c>
    </row>
    <row r="129" spans="1:11" x14ac:dyDescent="0.25">
      <c r="A129" s="33">
        <v>153</v>
      </c>
      <c r="B129" s="33" t="s">
        <v>194</v>
      </c>
      <c r="C129" s="33" t="s">
        <v>32</v>
      </c>
      <c r="D129" s="33" t="s">
        <v>1465</v>
      </c>
      <c r="E129" s="33" t="s">
        <v>1470</v>
      </c>
      <c r="F129" s="33" t="s">
        <v>1491</v>
      </c>
      <c r="G129" s="33">
        <v>1</v>
      </c>
      <c r="H129" s="33"/>
      <c r="I129" s="33"/>
      <c r="J129" s="33">
        <v>54800</v>
      </c>
      <c r="K129" s="33"/>
    </row>
    <row r="130" spans="1:11" x14ac:dyDescent="0.25">
      <c r="A130" s="33">
        <v>154</v>
      </c>
      <c r="B130" s="33" t="s">
        <v>159</v>
      </c>
      <c r="C130" s="33" t="s">
        <v>32</v>
      </c>
      <c r="D130" s="33" t="s">
        <v>1465</v>
      </c>
      <c r="E130" s="33" t="s">
        <v>1470</v>
      </c>
      <c r="F130" s="33" t="s">
        <v>1486</v>
      </c>
      <c r="G130" s="33">
        <v>1</v>
      </c>
      <c r="H130" s="33"/>
      <c r="I130" s="33"/>
      <c r="J130" s="33">
        <v>45270</v>
      </c>
      <c r="K130" s="33"/>
    </row>
    <row r="131" spans="1:11" x14ac:dyDescent="0.25">
      <c r="A131" s="33">
        <v>155</v>
      </c>
      <c r="B131" s="33" t="s">
        <v>279</v>
      </c>
      <c r="C131" s="33" t="s">
        <v>32</v>
      </c>
      <c r="D131" s="33" t="s">
        <v>1465</v>
      </c>
      <c r="E131" s="33" t="s">
        <v>1470</v>
      </c>
      <c r="F131" s="33" t="s">
        <v>1503</v>
      </c>
      <c r="G131" s="33">
        <v>1</v>
      </c>
      <c r="H131" s="33"/>
      <c r="I131" s="33"/>
      <c r="J131" s="33">
        <v>637.55999999999995</v>
      </c>
      <c r="K131" s="33"/>
    </row>
    <row r="132" spans="1:11" x14ac:dyDescent="0.25">
      <c r="A132" s="33">
        <v>156</v>
      </c>
      <c r="B132" s="33" t="s">
        <v>284</v>
      </c>
      <c r="C132" s="33" t="s">
        <v>32</v>
      </c>
      <c r="D132" s="33" t="s">
        <v>1465</v>
      </c>
      <c r="E132" s="33" t="s">
        <v>1470</v>
      </c>
      <c r="F132" s="33" t="s">
        <v>1504</v>
      </c>
      <c r="G132" s="33">
        <v>1</v>
      </c>
      <c r="H132" s="33"/>
      <c r="I132" s="33"/>
      <c r="J132" s="33">
        <v>650</v>
      </c>
      <c r="K132" s="33"/>
    </row>
    <row r="133" spans="1:11" x14ac:dyDescent="0.25">
      <c r="A133" s="33">
        <v>157</v>
      </c>
      <c r="B133" s="33" t="s">
        <v>289</v>
      </c>
      <c r="C133" s="33" t="s">
        <v>32</v>
      </c>
      <c r="D133" s="33" t="s">
        <v>1465</v>
      </c>
      <c r="E133" s="33" t="s">
        <v>1470</v>
      </c>
      <c r="F133" s="33" t="s">
        <v>1505</v>
      </c>
      <c r="G133" s="33">
        <v>1</v>
      </c>
      <c r="H133" s="33"/>
      <c r="I133" s="33"/>
      <c r="J133" s="33">
        <v>25650</v>
      </c>
      <c r="K133" s="33"/>
    </row>
    <row r="134" spans="1:11" x14ac:dyDescent="0.25">
      <c r="A134" s="33">
        <v>158</v>
      </c>
      <c r="B134" s="33" t="s">
        <v>293</v>
      </c>
      <c r="C134" s="33" t="s">
        <v>32</v>
      </c>
      <c r="D134" s="33" t="s">
        <v>1465</v>
      </c>
      <c r="E134" s="33" t="s">
        <v>1470</v>
      </c>
      <c r="F134" s="33" t="s">
        <v>1506</v>
      </c>
      <c r="G134" s="33">
        <v>1</v>
      </c>
      <c r="H134" s="33"/>
      <c r="I134" s="33"/>
      <c r="J134" s="33">
        <v>874.37</v>
      </c>
      <c r="K134" s="33"/>
    </row>
    <row r="135" spans="1:11" x14ac:dyDescent="0.25">
      <c r="A135" s="33">
        <v>159</v>
      </c>
      <c r="B135" s="33" t="s">
        <v>298</v>
      </c>
      <c r="C135" s="33" t="s">
        <v>32</v>
      </c>
      <c r="D135" s="33" t="s">
        <v>1465</v>
      </c>
      <c r="E135" s="33" t="s">
        <v>1470</v>
      </c>
      <c r="F135" s="33" t="s">
        <v>1507</v>
      </c>
      <c r="G135" s="33">
        <v>1</v>
      </c>
      <c r="H135" s="33"/>
      <c r="I135" s="33"/>
      <c r="J135" s="33">
        <v>645</v>
      </c>
      <c r="K135" s="33"/>
    </row>
    <row r="136" spans="1:11" x14ac:dyDescent="0.25">
      <c r="A136" s="33">
        <v>160</v>
      </c>
      <c r="B136" s="33" t="s">
        <v>303</v>
      </c>
      <c r="C136" s="33" t="s">
        <v>60</v>
      </c>
      <c r="D136" s="33" t="s">
        <v>1465</v>
      </c>
      <c r="E136" s="33" t="s">
        <v>1474</v>
      </c>
      <c r="F136" s="33" t="s">
        <v>1508</v>
      </c>
      <c r="G136" s="33">
        <v>1</v>
      </c>
      <c r="H136" s="33"/>
      <c r="I136" s="33"/>
      <c r="J136" s="33">
        <v>4500</v>
      </c>
      <c r="K136" s="33"/>
    </row>
    <row r="137" spans="1:11" x14ac:dyDescent="0.25">
      <c r="A137" s="33">
        <v>161</v>
      </c>
      <c r="B137" s="33" t="s">
        <v>308</v>
      </c>
      <c r="C137" s="33" t="s">
        <v>43</v>
      </c>
      <c r="D137" s="33" t="s">
        <v>1465</v>
      </c>
      <c r="E137" s="33" t="s">
        <v>1496</v>
      </c>
      <c r="F137" s="33" t="s">
        <v>1509</v>
      </c>
      <c r="G137" s="33">
        <v>1</v>
      </c>
      <c r="H137" s="33"/>
      <c r="I137" s="33"/>
      <c r="J137" s="33">
        <v>5941000</v>
      </c>
      <c r="K137" s="33"/>
    </row>
    <row r="138" spans="1:11" x14ac:dyDescent="0.25">
      <c r="A138" s="33">
        <v>162</v>
      </c>
      <c r="B138" s="33" t="s">
        <v>313</v>
      </c>
      <c r="C138" s="33" t="s">
        <v>314</v>
      </c>
      <c r="D138" s="33" t="s">
        <v>1465</v>
      </c>
      <c r="E138" s="33" t="s">
        <v>1510</v>
      </c>
      <c r="F138" s="33" t="s">
        <v>1511</v>
      </c>
      <c r="G138" s="33">
        <v>1</v>
      </c>
      <c r="H138" s="33"/>
      <c r="I138" s="33"/>
      <c r="J138" s="33">
        <v>6500</v>
      </c>
      <c r="K138" s="33"/>
    </row>
    <row r="139" spans="1:11" x14ac:dyDescent="0.25">
      <c r="A139" s="33">
        <v>163</v>
      </c>
      <c r="B139" s="33" t="s">
        <v>319</v>
      </c>
      <c r="C139" s="33" t="s">
        <v>320</v>
      </c>
      <c r="D139" s="33" t="s">
        <v>1465</v>
      </c>
      <c r="E139" s="33" t="s">
        <v>1512</v>
      </c>
      <c r="F139" s="33" t="s">
        <v>1513</v>
      </c>
      <c r="G139" s="33">
        <v>1</v>
      </c>
      <c r="H139" s="33"/>
      <c r="I139" s="33"/>
      <c r="J139" s="33">
        <v>3200</v>
      </c>
      <c r="K139" s="33"/>
    </row>
    <row r="140" spans="1:11" x14ac:dyDescent="0.25">
      <c r="A140" s="33">
        <v>164</v>
      </c>
      <c r="B140" s="33" t="s">
        <v>460</v>
      </c>
      <c r="C140" s="33" t="s">
        <v>43</v>
      </c>
      <c r="D140" s="33" t="s">
        <v>1465</v>
      </c>
      <c r="E140" s="33" t="s">
        <v>1496</v>
      </c>
      <c r="F140" s="33" t="s">
        <v>1517</v>
      </c>
      <c r="G140" s="33">
        <v>1</v>
      </c>
      <c r="H140" s="33"/>
      <c r="I140" s="33"/>
      <c r="J140" s="33">
        <v>4600000</v>
      </c>
      <c r="K140" s="33"/>
    </row>
    <row r="141" spans="1:11" x14ac:dyDescent="0.25">
      <c r="A141" s="32">
        <v>167</v>
      </c>
      <c r="B141" s="32" t="s">
        <v>264</v>
      </c>
      <c r="C141" s="32" t="s">
        <v>43</v>
      </c>
      <c r="D141" s="32" t="s">
        <v>1463</v>
      </c>
      <c r="E141" s="32"/>
      <c r="F141" s="32"/>
      <c r="G141" s="32"/>
      <c r="H141" s="32"/>
      <c r="I141" s="32"/>
      <c r="J141" s="32">
        <v>0</v>
      </c>
      <c r="K141" s="32" t="s">
        <v>1464</v>
      </c>
    </row>
    <row r="142" spans="1:11" x14ac:dyDescent="0.25">
      <c r="A142" s="33">
        <v>168</v>
      </c>
      <c r="B142" s="33" t="s">
        <v>20</v>
      </c>
      <c r="C142" s="33" t="s">
        <v>21</v>
      </c>
      <c r="D142" s="33" t="s">
        <v>1465</v>
      </c>
      <c r="E142" s="33" t="s">
        <v>1466</v>
      </c>
      <c r="F142" s="33" t="s">
        <v>1467</v>
      </c>
      <c r="G142" s="33">
        <v>1</v>
      </c>
      <c r="H142" s="33"/>
      <c r="I142" s="33"/>
      <c r="J142" s="33">
        <v>15807.93</v>
      </c>
      <c r="K142" s="33"/>
    </row>
    <row r="143" spans="1:11" x14ac:dyDescent="0.25">
      <c r="A143" s="32">
        <v>169</v>
      </c>
      <c r="B143" s="32" t="s">
        <v>26</v>
      </c>
      <c r="C143" s="32" t="s">
        <v>21</v>
      </c>
      <c r="D143" s="32" t="s">
        <v>1468</v>
      </c>
      <c r="E143" s="32"/>
      <c r="F143" s="32"/>
      <c r="G143" s="32"/>
      <c r="H143" s="32"/>
      <c r="I143" s="32"/>
      <c r="J143" s="32">
        <v>0</v>
      </c>
      <c r="K143" s="32" t="s">
        <v>1469</v>
      </c>
    </row>
    <row r="144" spans="1:11" x14ac:dyDescent="0.25">
      <c r="A144" s="33">
        <v>170</v>
      </c>
      <c r="B144" s="33" t="s">
        <v>194</v>
      </c>
      <c r="C144" s="33" t="s">
        <v>32</v>
      </c>
      <c r="D144" s="33" t="s">
        <v>1465</v>
      </c>
      <c r="E144" s="33" t="s">
        <v>1470</v>
      </c>
      <c r="F144" s="33" t="s">
        <v>1491</v>
      </c>
      <c r="G144" s="33">
        <v>1</v>
      </c>
      <c r="H144" s="33"/>
      <c r="I144" s="33"/>
      <c r="J144" s="33">
        <v>54800</v>
      </c>
      <c r="K144" s="33"/>
    </row>
    <row r="145" spans="1:11" x14ac:dyDescent="0.25">
      <c r="A145" s="33">
        <v>171</v>
      </c>
      <c r="B145" s="33" t="s">
        <v>159</v>
      </c>
      <c r="C145" s="33" t="s">
        <v>32</v>
      </c>
      <c r="D145" s="33" t="s">
        <v>1465</v>
      </c>
      <c r="E145" s="33" t="s">
        <v>1470</v>
      </c>
      <c r="F145" s="33" t="s">
        <v>1486</v>
      </c>
      <c r="G145" s="33">
        <v>1</v>
      </c>
      <c r="H145" s="33"/>
      <c r="I145" s="33"/>
      <c r="J145" s="33">
        <v>45270</v>
      </c>
      <c r="K145" s="33"/>
    </row>
    <row r="146" spans="1:11" x14ac:dyDescent="0.25">
      <c r="A146" s="33">
        <v>172</v>
      </c>
      <c r="B146" s="33" t="s">
        <v>279</v>
      </c>
      <c r="C146" s="33" t="s">
        <v>32</v>
      </c>
      <c r="D146" s="33" t="s">
        <v>1465</v>
      </c>
      <c r="E146" s="33" t="s">
        <v>1470</v>
      </c>
      <c r="F146" s="33" t="s">
        <v>1503</v>
      </c>
      <c r="G146" s="33">
        <v>1</v>
      </c>
      <c r="H146" s="33"/>
      <c r="I146" s="33"/>
      <c r="J146" s="33">
        <v>637.55999999999995</v>
      </c>
      <c r="K146" s="33"/>
    </row>
    <row r="147" spans="1:11" x14ac:dyDescent="0.25">
      <c r="A147" s="33">
        <v>173</v>
      </c>
      <c r="B147" s="33" t="s">
        <v>284</v>
      </c>
      <c r="C147" s="33" t="s">
        <v>32</v>
      </c>
      <c r="D147" s="33" t="s">
        <v>1465</v>
      </c>
      <c r="E147" s="33" t="s">
        <v>1470</v>
      </c>
      <c r="F147" s="33" t="s">
        <v>1504</v>
      </c>
      <c r="G147" s="33">
        <v>1</v>
      </c>
      <c r="H147" s="33"/>
      <c r="I147" s="33"/>
      <c r="J147" s="33">
        <v>650</v>
      </c>
      <c r="K147" s="33"/>
    </row>
    <row r="148" spans="1:11" x14ac:dyDescent="0.25">
      <c r="A148" s="33">
        <v>174</v>
      </c>
      <c r="B148" s="33" t="s">
        <v>289</v>
      </c>
      <c r="C148" s="33" t="s">
        <v>32</v>
      </c>
      <c r="D148" s="33" t="s">
        <v>1465</v>
      </c>
      <c r="E148" s="33" t="s">
        <v>1470</v>
      </c>
      <c r="F148" s="33" t="s">
        <v>1505</v>
      </c>
      <c r="G148" s="33">
        <v>1</v>
      </c>
      <c r="H148" s="33"/>
      <c r="I148" s="33"/>
      <c r="J148" s="33">
        <v>25650</v>
      </c>
      <c r="K148" s="33"/>
    </row>
    <row r="149" spans="1:11" x14ac:dyDescent="0.25">
      <c r="A149" s="33">
        <v>175</v>
      </c>
      <c r="B149" s="33" t="s">
        <v>293</v>
      </c>
      <c r="C149" s="33" t="s">
        <v>32</v>
      </c>
      <c r="D149" s="33" t="s">
        <v>1465</v>
      </c>
      <c r="E149" s="33" t="s">
        <v>1470</v>
      </c>
      <c r="F149" s="33" t="s">
        <v>1506</v>
      </c>
      <c r="G149" s="33">
        <v>1</v>
      </c>
      <c r="H149" s="33"/>
      <c r="I149" s="33"/>
      <c r="J149" s="33">
        <v>874.37</v>
      </c>
      <c r="K149" s="33"/>
    </row>
    <row r="150" spans="1:11" x14ac:dyDescent="0.25">
      <c r="A150" s="33">
        <v>176</v>
      </c>
      <c r="B150" s="33" t="s">
        <v>298</v>
      </c>
      <c r="C150" s="33" t="s">
        <v>32</v>
      </c>
      <c r="D150" s="33" t="s">
        <v>1465</v>
      </c>
      <c r="E150" s="33" t="s">
        <v>1470</v>
      </c>
      <c r="F150" s="33" t="s">
        <v>1507</v>
      </c>
      <c r="G150" s="33">
        <v>1</v>
      </c>
      <c r="H150" s="33"/>
      <c r="I150" s="33"/>
      <c r="J150" s="33">
        <v>645</v>
      </c>
      <c r="K150" s="33"/>
    </row>
    <row r="151" spans="1:11" x14ac:dyDescent="0.25">
      <c r="A151" s="33">
        <v>177</v>
      </c>
      <c r="B151" s="33" t="s">
        <v>303</v>
      </c>
      <c r="C151" s="33" t="s">
        <v>60</v>
      </c>
      <c r="D151" s="33" t="s">
        <v>1465</v>
      </c>
      <c r="E151" s="33" t="s">
        <v>1474</v>
      </c>
      <c r="F151" s="33" t="s">
        <v>1508</v>
      </c>
      <c r="G151" s="33">
        <v>1</v>
      </c>
      <c r="H151" s="33"/>
      <c r="I151" s="33"/>
      <c r="J151" s="33">
        <v>4500</v>
      </c>
      <c r="K151" s="33"/>
    </row>
    <row r="152" spans="1:11" x14ac:dyDescent="0.25">
      <c r="A152" s="33">
        <v>178</v>
      </c>
      <c r="B152" s="33" t="s">
        <v>308</v>
      </c>
      <c r="C152" s="33" t="s">
        <v>43</v>
      </c>
      <c r="D152" s="33" t="s">
        <v>1465</v>
      </c>
      <c r="E152" s="33" t="s">
        <v>1496</v>
      </c>
      <c r="F152" s="33" t="s">
        <v>1509</v>
      </c>
      <c r="G152" s="33">
        <v>1</v>
      </c>
      <c r="H152" s="33"/>
      <c r="I152" s="33"/>
      <c r="J152" s="33">
        <v>5941000</v>
      </c>
      <c r="K152" s="33"/>
    </row>
    <row r="153" spans="1:11" x14ac:dyDescent="0.25">
      <c r="A153" s="33">
        <v>179</v>
      </c>
      <c r="B153" s="33" t="s">
        <v>313</v>
      </c>
      <c r="C153" s="33" t="s">
        <v>314</v>
      </c>
      <c r="D153" s="33" t="s">
        <v>1465</v>
      </c>
      <c r="E153" s="33" t="s">
        <v>1510</v>
      </c>
      <c r="F153" s="33" t="s">
        <v>1511</v>
      </c>
      <c r="G153" s="33">
        <v>1</v>
      </c>
      <c r="H153" s="33"/>
      <c r="I153" s="33"/>
      <c r="J153" s="33">
        <v>6500</v>
      </c>
      <c r="K153" s="33"/>
    </row>
    <row r="154" spans="1:11" x14ac:dyDescent="0.25">
      <c r="A154" s="33">
        <v>180</v>
      </c>
      <c r="B154" s="33" t="s">
        <v>319</v>
      </c>
      <c r="C154" s="33" t="s">
        <v>320</v>
      </c>
      <c r="D154" s="33" t="s">
        <v>1465</v>
      </c>
      <c r="E154" s="33" t="s">
        <v>1512</v>
      </c>
      <c r="F154" s="33" t="s">
        <v>1513</v>
      </c>
      <c r="G154" s="33">
        <v>1</v>
      </c>
      <c r="H154" s="33"/>
      <c r="I154" s="33"/>
      <c r="J154" s="33">
        <v>3200</v>
      </c>
      <c r="K154" s="33"/>
    </row>
    <row r="155" spans="1:11" x14ac:dyDescent="0.25">
      <c r="A155" s="33">
        <v>181</v>
      </c>
      <c r="B155" s="33" t="s">
        <v>493</v>
      </c>
      <c r="C155" s="33" t="s">
        <v>43</v>
      </c>
      <c r="D155" s="33" t="s">
        <v>1465</v>
      </c>
      <c r="E155" s="33" t="s">
        <v>1496</v>
      </c>
      <c r="F155" s="33" t="s">
        <v>1518</v>
      </c>
      <c r="G155" s="33">
        <v>1</v>
      </c>
      <c r="H155" s="33"/>
      <c r="I155" s="33"/>
      <c r="J155" s="33">
        <v>4600000</v>
      </c>
      <c r="K155" s="33"/>
    </row>
    <row r="156" spans="1:11" x14ac:dyDescent="0.25">
      <c r="A156" s="33">
        <v>182</v>
      </c>
      <c r="B156" s="33" t="s">
        <v>497</v>
      </c>
      <c r="C156" s="33" t="s">
        <v>43</v>
      </c>
      <c r="D156" s="33" t="s">
        <v>1465</v>
      </c>
      <c r="E156" s="33" t="s">
        <v>1496</v>
      </c>
      <c r="F156" s="33" t="s">
        <v>1519</v>
      </c>
      <c r="G156" s="33">
        <v>1</v>
      </c>
      <c r="H156" s="33"/>
      <c r="I156" s="33"/>
      <c r="J156" s="33">
        <v>4600000</v>
      </c>
      <c r="K156" s="33"/>
    </row>
    <row r="157" spans="1:11" x14ac:dyDescent="0.25">
      <c r="A157" s="34">
        <v>183</v>
      </c>
      <c r="B157" s="34" t="s">
        <v>500</v>
      </c>
      <c r="C157" s="34" t="s">
        <v>43</v>
      </c>
      <c r="D157" s="34" t="s">
        <v>1520</v>
      </c>
      <c r="E157" s="34" t="s">
        <v>1496</v>
      </c>
      <c r="F157" s="34" t="s">
        <v>1521</v>
      </c>
      <c r="G157" s="34">
        <v>0.98799999999999999</v>
      </c>
      <c r="H157" s="34" t="s">
        <v>1516</v>
      </c>
      <c r="I157" s="34">
        <v>0.98799999999999999</v>
      </c>
      <c r="J157" s="34" t="s">
        <v>502</v>
      </c>
      <c r="K157" s="34" t="s">
        <v>1522</v>
      </c>
    </row>
    <row r="158" spans="1:11" x14ac:dyDescent="0.25">
      <c r="A158" s="33">
        <v>184</v>
      </c>
      <c r="B158" s="33" t="s">
        <v>505</v>
      </c>
      <c r="C158" s="33" t="s">
        <v>43</v>
      </c>
      <c r="D158" s="33" t="s">
        <v>1465</v>
      </c>
      <c r="E158" s="33" t="s">
        <v>1496</v>
      </c>
      <c r="F158" s="33" t="s">
        <v>1523</v>
      </c>
      <c r="G158" s="33">
        <v>1</v>
      </c>
      <c r="H158" s="33"/>
      <c r="I158" s="33"/>
      <c r="J158" s="33">
        <v>4600000</v>
      </c>
      <c r="K158" s="33"/>
    </row>
    <row r="159" spans="1:11" x14ac:dyDescent="0.25">
      <c r="A159" s="32">
        <v>187</v>
      </c>
      <c r="B159" s="32" t="s">
        <v>510</v>
      </c>
      <c r="C159" s="32" t="s">
        <v>118</v>
      </c>
      <c r="D159" s="32" t="s">
        <v>1463</v>
      </c>
      <c r="E159" s="32"/>
      <c r="F159" s="32"/>
      <c r="G159" s="32"/>
      <c r="H159" s="32"/>
      <c r="I159" s="32"/>
      <c r="J159" s="32">
        <v>0</v>
      </c>
      <c r="K159" s="32" t="s">
        <v>1464</v>
      </c>
    </row>
    <row r="160" spans="1:11" x14ac:dyDescent="0.25">
      <c r="A160" s="33">
        <v>188</v>
      </c>
      <c r="B160" s="33" t="s">
        <v>20</v>
      </c>
      <c r="C160" s="33" t="s">
        <v>21</v>
      </c>
      <c r="D160" s="33" t="s">
        <v>1465</v>
      </c>
      <c r="E160" s="33" t="s">
        <v>1466</v>
      </c>
      <c r="F160" s="33" t="s">
        <v>1467</v>
      </c>
      <c r="G160" s="33">
        <v>1</v>
      </c>
      <c r="H160" s="33"/>
      <c r="I160" s="33"/>
      <c r="J160" s="33">
        <v>15807.93</v>
      </c>
      <c r="K160" s="33"/>
    </row>
    <row r="161" spans="1:11" x14ac:dyDescent="0.25">
      <c r="A161" s="32">
        <v>189</v>
      </c>
      <c r="B161" s="32" t="s">
        <v>26</v>
      </c>
      <c r="C161" s="32" t="s">
        <v>21</v>
      </c>
      <c r="D161" s="32" t="s">
        <v>1468</v>
      </c>
      <c r="E161" s="32"/>
      <c r="F161" s="32"/>
      <c r="G161" s="32"/>
      <c r="H161" s="32"/>
      <c r="I161" s="32"/>
      <c r="J161" s="32">
        <v>0</v>
      </c>
      <c r="K161" s="32" t="s">
        <v>1469</v>
      </c>
    </row>
    <row r="162" spans="1:11" x14ac:dyDescent="0.25">
      <c r="A162" s="33">
        <v>190</v>
      </c>
      <c r="B162" s="33" t="s">
        <v>194</v>
      </c>
      <c r="C162" s="33" t="s">
        <v>32</v>
      </c>
      <c r="D162" s="33" t="s">
        <v>1465</v>
      </c>
      <c r="E162" s="33" t="s">
        <v>1470</v>
      </c>
      <c r="F162" s="33" t="s">
        <v>1491</v>
      </c>
      <c r="G162" s="33">
        <v>1</v>
      </c>
      <c r="H162" s="33"/>
      <c r="I162" s="33"/>
      <c r="J162" s="33">
        <v>54800</v>
      </c>
      <c r="K162" s="33"/>
    </row>
    <row r="163" spans="1:11" x14ac:dyDescent="0.25">
      <c r="A163" s="33">
        <v>191</v>
      </c>
      <c r="B163" s="33" t="s">
        <v>154</v>
      </c>
      <c r="C163" s="33" t="s">
        <v>32</v>
      </c>
      <c r="D163" s="33" t="s">
        <v>1465</v>
      </c>
      <c r="E163" s="33" t="s">
        <v>1470</v>
      </c>
      <c r="F163" s="33" t="s">
        <v>1485</v>
      </c>
      <c r="G163" s="33">
        <v>1</v>
      </c>
      <c r="H163" s="33"/>
      <c r="I163" s="33"/>
      <c r="J163" s="33">
        <v>580</v>
      </c>
      <c r="K163" s="33"/>
    </row>
    <row r="164" spans="1:11" x14ac:dyDescent="0.25">
      <c r="A164" s="33">
        <v>192</v>
      </c>
      <c r="B164" s="33" t="s">
        <v>159</v>
      </c>
      <c r="C164" s="33" t="s">
        <v>32</v>
      </c>
      <c r="D164" s="33" t="s">
        <v>1465</v>
      </c>
      <c r="E164" s="33" t="s">
        <v>1470</v>
      </c>
      <c r="F164" s="33" t="s">
        <v>1486</v>
      </c>
      <c r="G164" s="33">
        <v>1</v>
      </c>
      <c r="H164" s="33"/>
      <c r="I164" s="33"/>
      <c r="J164" s="33">
        <v>45270</v>
      </c>
      <c r="K164" s="33"/>
    </row>
    <row r="165" spans="1:11" x14ac:dyDescent="0.25">
      <c r="A165" s="33">
        <v>193</v>
      </c>
      <c r="B165" s="33" t="s">
        <v>205</v>
      </c>
      <c r="C165" s="33" t="s">
        <v>32</v>
      </c>
      <c r="D165" s="33" t="s">
        <v>1465</v>
      </c>
      <c r="E165" s="33" t="s">
        <v>1470</v>
      </c>
      <c r="F165" s="33" t="s">
        <v>1492</v>
      </c>
      <c r="G165" s="33">
        <v>1</v>
      </c>
      <c r="H165" s="33"/>
      <c r="I165" s="33"/>
      <c r="J165" s="33">
        <v>102000</v>
      </c>
      <c r="K165" s="33"/>
    </row>
    <row r="166" spans="1:11" x14ac:dyDescent="0.25">
      <c r="A166" s="33">
        <v>194</v>
      </c>
      <c r="B166" s="33" t="s">
        <v>210</v>
      </c>
      <c r="C166" s="33" t="s">
        <v>32</v>
      </c>
      <c r="D166" s="33" t="s">
        <v>1465</v>
      </c>
      <c r="E166" s="33" t="s">
        <v>1470</v>
      </c>
      <c r="F166" s="33" t="s">
        <v>1493</v>
      </c>
      <c r="G166" s="33">
        <v>1</v>
      </c>
      <c r="H166" s="33"/>
      <c r="I166" s="33"/>
      <c r="J166" s="33">
        <v>873</v>
      </c>
      <c r="K166" s="33"/>
    </row>
    <row r="167" spans="1:11" x14ac:dyDescent="0.25">
      <c r="A167" s="33">
        <v>195</v>
      </c>
      <c r="B167" s="33" t="s">
        <v>215</v>
      </c>
      <c r="C167" s="33" t="s">
        <v>32</v>
      </c>
      <c r="D167" s="33" t="s">
        <v>1465</v>
      </c>
      <c r="E167" s="33" t="s">
        <v>1470</v>
      </c>
      <c r="F167" s="33" t="s">
        <v>1494</v>
      </c>
      <c r="G167" s="33">
        <v>1</v>
      </c>
      <c r="H167" s="33"/>
      <c r="I167" s="33"/>
      <c r="J167" s="33">
        <v>3200</v>
      </c>
      <c r="K167" s="33"/>
    </row>
    <row r="168" spans="1:11" x14ac:dyDescent="0.25">
      <c r="A168" s="33">
        <v>196</v>
      </c>
      <c r="B168" s="33" t="s">
        <v>164</v>
      </c>
      <c r="C168" s="33" t="s">
        <v>32</v>
      </c>
      <c r="D168" s="33" t="s">
        <v>1465</v>
      </c>
      <c r="E168" s="33" t="s">
        <v>1470</v>
      </c>
      <c r="F168" s="33" t="s">
        <v>1487</v>
      </c>
      <c r="G168" s="33">
        <v>1</v>
      </c>
      <c r="H168" s="33"/>
      <c r="I168" s="33"/>
      <c r="J168" s="33">
        <v>52621.06</v>
      </c>
      <c r="K168" s="33"/>
    </row>
    <row r="169" spans="1:11" x14ac:dyDescent="0.25">
      <c r="A169" s="33">
        <v>197</v>
      </c>
      <c r="B169" s="33" t="s">
        <v>105</v>
      </c>
      <c r="C169" s="33" t="s">
        <v>60</v>
      </c>
      <c r="D169" s="33" t="s">
        <v>1465</v>
      </c>
      <c r="E169" s="33" t="s">
        <v>1474</v>
      </c>
      <c r="F169" s="33" t="s">
        <v>1482</v>
      </c>
      <c r="G169" s="33">
        <v>1</v>
      </c>
      <c r="H169" s="33"/>
      <c r="I169" s="33"/>
      <c r="J169" s="33">
        <v>0</v>
      </c>
      <c r="K169" s="33"/>
    </row>
    <row r="170" spans="1:11" x14ac:dyDescent="0.25">
      <c r="A170" s="33">
        <v>198</v>
      </c>
      <c r="B170" s="33" t="s">
        <v>226</v>
      </c>
      <c r="C170" s="33" t="s">
        <v>60</v>
      </c>
      <c r="D170" s="33" t="s">
        <v>1465</v>
      </c>
      <c r="E170" s="33" t="s">
        <v>1474</v>
      </c>
      <c r="F170" s="33" t="s">
        <v>1495</v>
      </c>
      <c r="G170" s="33">
        <v>1</v>
      </c>
      <c r="H170" s="33"/>
      <c r="I170" s="33"/>
      <c r="J170" s="33">
        <v>400000</v>
      </c>
      <c r="K170" s="33"/>
    </row>
    <row r="171" spans="1:11" x14ac:dyDescent="0.25">
      <c r="A171" s="33">
        <v>199</v>
      </c>
      <c r="B171" s="33" t="s">
        <v>545</v>
      </c>
      <c r="C171" s="33" t="s">
        <v>43</v>
      </c>
      <c r="D171" s="33" t="s">
        <v>1465</v>
      </c>
      <c r="E171" s="33" t="s">
        <v>1496</v>
      </c>
      <c r="F171" s="33" t="s">
        <v>1524</v>
      </c>
      <c r="G171" s="33">
        <v>1</v>
      </c>
      <c r="H171" s="33"/>
      <c r="I171" s="33"/>
      <c r="J171" s="33">
        <v>13000000</v>
      </c>
      <c r="K171" s="33"/>
    </row>
    <row r="172" spans="1:11" x14ac:dyDescent="0.25">
      <c r="A172" s="33">
        <v>200</v>
      </c>
      <c r="B172" s="33" t="s">
        <v>231</v>
      </c>
      <c r="C172" s="33" t="s">
        <v>43</v>
      </c>
      <c r="D172" s="33" t="s">
        <v>1465</v>
      </c>
      <c r="E172" s="33" t="s">
        <v>1496</v>
      </c>
      <c r="F172" s="33" t="s">
        <v>1497</v>
      </c>
      <c r="G172" s="33">
        <v>1</v>
      </c>
      <c r="H172" s="33"/>
      <c r="I172" s="33"/>
      <c r="J172" s="33">
        <v>8200000</v>
      </c>
      <c r="K172" s="33"/>
    </row>
    <row r="173" spans="1:11" x14ac:dyDescent="0.25">
      <c r="A173" s="33">
        <v>201</v>
      </c>
      <c r="B173" s="33" t="s">
        <v>236</v>
      </c>
      <c r="C173" s="33" t="s">
        <v>43</v>
      </c>
      <c r="D173" s="33" t="s">
        <v>1465</v>
      </c>
      <c r="E173" s="33" t="s">
        <v>1496</v>
      </c>
      <c r="F173" s="33" t="s">
        <v>1498</v>
      </c>
      <c r="G173" s="33">
        <v>1</v>
      </c>
      <c r="H173" s="33"/>
      <c r="I173" s="33"/>
      <c r="J173" s="33">
        <v>650000</v>
      </c>
      <c r="K173" s="33"/>
    </row>
    <row r="174" spans="1:11" x14ac:dyDescent="0.25">
      <c r="A174" s="33">
        <v>202</v>
      </c>
      <c r="B174" s="33" t="s">
        <v>246</v>
      </c>
      <c r="C174" s="33" t="s">
        <v>43</v>
      </c>
      <c r="D174" s="33" t="s">
        <v>1465</v>
      </c>
      <c r="E174" s="33" t="s">
        <v>1496</v>
      </c>
      <c r="F174" s="33" t="s">
        <v>1500</v>
      </c>
      <c r="G174" s="33">
        <v>1</v>
      </c>
      <c r="H174" s="33"/>
      <c r="I174" s="33"/>
      <c r="J174" s="33">
        <v>10300000</v>
      </c>
      <c r="K174" s="33"/>
    </row>
    <row r="175" spans="1:11" x14ac:dyDescent="0.25">
      <c r="A175" s="33">
        <v>203</v>
      </c>
      <c r="B175" s="33" t="s">
        <v>557</v>
      </c>
      <c r="C175" s="33" t="s">
        <v>60</v>
      </c>
      <c r="D175" s="33" t="s">
        <v>1465</v>
      </c>
      <c r="E175" s="33" t="s">
        <v>1474</v>
      </c>
      <c r="F175" s="33" t="s">
        <v>1525</v>
      </c>
      <c r="G175" s="33">
        <v>1</v>
      </c>
      <c r="H175" s="33"/>
      <c r="I175" s="33"/>
      <c r="J175" s="33">
        <v>2000000</v>
      </c>
      <c r="K175" s="33"/>
    </row>
    <row r="176" spans="1:11" x14ac:dyDescent="0.25">
      <c r="A176" s="33">
        <v>204</v>
      </c>
      <c r="B176" s="33" t="s">
        <v>254</v>
      </c>
      <c r="C176" s="33" t="s">
        <v>60</v>
      </c>
      <c r="D176" s="33" t="s">
        <v>1465</v>
      </c>
      <c r="E176" s="33" t="s">
        <v>1474</v>
      </c>
      <c r="F176" s="33" t="s">
        <v>1501</v>
      </c>
      <c r="G176" s="33">
        <v>1</v>
      </c>
      <c r="H176" s="33"/>
      <c r="I176" s="33"/>
      <c r="J176" s="33">
        <v>2000000</v>
      </c>
      <c r="K176" s="33"/>
    </row>
    <row r="177" spans="1:11" x14ac:dyDescent="0.25">
      <c r="A177" s="33">
        <v>205</v>
      </c>
      <c r="B177" s="33" t="s">
        <v>564</v>
      </c>
      <c r="C177" s="33" t="s">
        <v>179</v>
      </c>
      <c r="D177" s="33" t="s">
        <v>1465</v>
      </c>
      <c r="E177" s="33" t="s">
        <v>1489</v>
      </c>
      <c r="F177" s="33" t="s">
        <v>1526</v>
      </c>
      <c r="G177" s="33">
        <v>1</v>
      </c>
      <c r="H177" s="33"/>
      <c r="I177" s="33"/>
      <c r="J177" s="33">
        <v>25000</v>
      </c>
      <c r="K177" s="33"/>
    </row>
    <row r="178" spans="1:11" x14ac:dyDescent="0.25">
      <c r="A178" s="32">
        <v>206</v>
      </c>
      <c r="B178" s="32" t="s">
        <v>264</v>
      </c>
      <c r="C178" s="32" t="s">
        <v>43</v>
      </c>
      <c r="D178" s="32" t="s">
        <v>1463</v>
      </c>
      <c r="E178" s="32"/>
      <c r="F178" s="32"/>
      <c r="G178" s="32"/>
      <c r="H178" s="32"/>
      <c r="I178" s="32"/>
      <c r="J178" s="32">
        <v>0</v>
      </c>
      <c r="K178" s="32" t="s">
        <v>1464</v>
      </c>
    </row>
    <row r="179" spans="1:11" x14ac:dyDescent="0.25">
      <c r="A179" s="33">
        <v>207</v>
      </c>
      <c r="B179" s="33" t="s">
        <v>20</v>
      </c>
      <c r="C179" s="33" t="s">
        <v>21</v>
      </c>
      <c r="D179" s="33" t="s">
        <v>1465</v>
      </c>
      <c r="E179" s="33" t="s">
        <v>1466</v>
      </c>
      <c r="F179" s="33" t="s">
        <v>1467</v>
      </c>
      <c r="G179" s="33">
        <v>1</v>
      </c>
      <c r="H179" s="33"/>
      <c r="I179" s="33"/>
      <c r="J179" s="33">
        <v>15807.93</v>
      </c>
      <c r="K179" s="33"/>
    </row>
    <row r="180" spans="1:11" x14ac:dyDescent="0.25">
      <c r="A180" s="32">
        <v>208</v>
      </c>
      <c r="B180" s="32" t="s">
        <v>26</v>
      </c>
      <c r="C180" s="32" t="s">
        <v>21</v>
      </c>
      <c r="D180" s="32" t="s">
        <v>1468</v>
      </c>
      <c r="E180" s="32"/>
      <c r="F180" s="32"/>
      <c r="G180" s="32"/>
      <c r="H180" s="32"/>
      <c r="I180" s="32"/>
      <c r="J180" s="32">
        <v>0</v>
      </c>
      <c r="K180" s="32" t="s">
        <v>1469</v>
      </c>
    </row>
    <row r="181" spans="1:11" x14ac:dyDescent="0.25">
      <c r="A181" s="33">
        <v>209</v>
      </c>
      <c r="B181" s="33" t="s">
        <v>194</v>
      </c>
      <c r="C181" s="33" t="s">
        <v>32</v>
      </c>
      <c r="D181" s="33" t="s">
        <v>1465</v>
      </c>
      <c r="E181" s="33" t="s">
        <v>1470</v>
      </c>
      <c r="F181" s="33" t="s">
        <v>1491</v>
      </c>
      <c r="G181" s="33">
        <v>1</v>
      </c>
      <c r="H181" s="33"/>
      <c r="I181" s="33"/>
      <c r="J181" s="33">
        <v>54800</v>
      </c>
      <c r="K181" s="33"/>
    </row>
    <row r="182" spans="1:11" x14ac:dyDescent="0.25">
      <c r="A182" s="33">
        <v>210</v>
      </c>
      <c r="B182" s="33" t="s">
        <v>159</v>
      </c>
      <c r="C182" s="33" t="s">
        <v>32</v>
      </c>
      <c r="D182" s="33" t="s">
        <v>1465</v>
      </c>
      <c r="E182" s="33" t="s">
        <v>1470</v>
      </c>
      <c r="F182" s="33" t="s">
        <v>1486</v>
      </c>
      <c r="G182" s="33">
        <v>1</v>
      </c>
      <c r="H182" s="33"/>
      <c r="I182" s="33"/>
      <c r="J182" s="33">
        <v>45270</v>
      </c>
      <c r="K182" s="33"/>
    </row>
    <row r="183" spans="1:11" x14ac:dyDescent="0.25">
      <c r="A183" s="33">
        <v>211</v>
      </c>
      <c r="B183" s="33" t="s">
        <v>279</v>
      </c>
      <c r="C183" s="33" t="s">
        <v>32</v>
      </c>
      <c r="D183" s="33" t="s">
        <v>1465</v>
      </c>
      <c r="E183" s="33" t="s">
        <v>1470</v>
      </c>
      <c r="F183" s="33" t="s">
        <v>1503</v>
      </c>
      <c r="G183" s="33">
        <v>1</v>
      </c>
      <c r="H183" s="33"/>
      <c r="I183" s="33"/>
      <c r="J183" s="33">
        <v>637.55999999999995</v>
      </c>
      <c r="K183" s="33"/>
    </row>
    <row r="184" spans="1:11" x14ac:dyDescent="0.25">
      <c r="A184" s="33">
        <v>212</v>
      </c>
      <c r="B184" s="33" t="s">
        <v>284</v>
      </c>
      <c r="C184" s="33" t="s">
        <v>32</v>
      </c>
      <c r="D184" s="33" t="s">
        <v>1465</v>
      </c>
      <c r="E184" s="33" t="s">
        <v>1470</v>
      </c>
      <c r="F184" s="33" t="s">
        <v>1504</v>
      </c>
      <c r="G184" s="33">
        <v>1</v>
      </c>
      <c r="H184" s="33"/>
      <c r="I184" s="33"/>
      <c r="J184" s="33">
        <v>650</v>
      </c>
      <c r="K184" s="33"/>
    </row>
    <row r="185" spans="1:11" x14ac:dyDescent="0.25">
      <c r="A185" s="33">
        <v>213</v>
      </c>
      <c r="B185" s="33" t="s">
        <v>289</v>
      </c>
      <c r="C185" s="33" t="s">
        <v>32</v>
      </c>
      <c r="D185" s="33" t="s">
        <v>1465</v>
      </c>
      <c r="E185" s="33" t="s">
        <v>1470</v>
      </c>
      <c r="F185" s="33" t="s">
        <v>1505</v>
      </c>
      <c r="G185" s="33">
        <v>1</v>
      </c>
      <c r="H185" s="33"/>
      <c r="I185" s="33"/>
      <c r="J185" s="33">
        <v>25650</v>
      </c>
      <c r="K185" s="33"/>
    </row>
    <row r="186" spans="1:11" x14ac:dyDescent="0.25">
      <c r="A186" s="33">
        <v>214</v>
      </c>
      <c r="B186" s="33" t="s">
        <v>293</v>
      </c>
      <c r="C186" s="33" t="s">
        <v>32</v>
      </c>
      <c r="D186" s="33" t="s">
        <v>1465</v>
      </c>
      <c r="E186" s="33" t="s">
        <v>1470</v>
      </c>
      <c r="F186" s="33" t="s">
        <v>1506</v>
      </c>
      <c r="G186" s="33">
        <v>1</v>
      </c>
      <c r="H186" s="33"/>
      <c r="I186" s="33"/>
      <c r="J186" s="33">
        <v>874.37</v>
      </c>
      <c r="K186" s="33"/>
    </row>
    <row r="187" spans="1:11" x14ac:dyDescent="0.25">
      <c r="A187" s="33">
        <v>215</v>
      </c>
      <c r="B187" s="33" t="s">
        <v>298</v>
      </c>
      <c r="C187" s="33" t="s">
        <v>32</v>
      </c>
      <c r="D187" s="33" t="s">
        <v>1465</v>
      </c>
      <c r="E187" s="33" t="s">
        <v>1470</v>
      </c>
      <c r="F187" s="33" t="s">
        <v>1507</v>
      </c>
      <c r="G187" s="33">
        <v>1</v>
      </c>
      <c r="H187" s="33"/>
      <c r="I187" s="33"/>
      <c r="J187" s="33">
        <v>645</v>
      </c>
      <c r="K187" s="33"/>
    </row>
    <row r="188" spans="1:11" x14ac:dyDescent="0.25">
      <c r="A188" s="33">
        <v>216</v>
      </c>
      <c r="B188" s="33" t="s">
        <v>303</v>
      </c>
      <c r="C188" s="33" t="s">
        <v>60</v>
      </c>
      <c r="D188" s="33" t="s">
        <v>1465</v>
      </c>
      <c r="E188" s="33" t="s">
        <v>1474</v>
      </c>
      <c r="F188" s="33" t="s">
        <v>1508</v>
      </c>
      <c r="G188" s="33">
        <v>1</v>
      </c>
      <c r="H188" s="33"/>
      <c r="I188" s="33"/>
      <c r="J188" s="33">
        <v>4500</v>
      </c>
      <c r="K188" s="33"/>
    </row>
    <row r="189" spans="1:11" x14ac:dyDescent="0.25">
      <c r="A189" s="33">
        <v>217</v>
      </c>
      <c r="B189" s="33" t="s">
        <v>308</v>
      </c>
      <c r="C189" s="33" t="s">
        <v>43</v>
      </c>
      <c r="D189" s="33" t="s">
        <v>1465</v>
      </c>
      <c r="E189" s="33" t="s">
        <v>1496</v>
      </c>
      <c r="F189" s="33" t="s">
        <v>1509</v>
      </c>
      <c r="G189" s="33">
        <v>1</v>
      </c>
      <c r="H189" s="33"/>
      <c r="I189" s="33"/>
      <c r="J189" s="33">
        <v>5941000</v>
      </c>
      <c r="K189" s="33"/>
    </row>
    <row r="190" spans="1:11" x14ac:dyDescent="0.25">
      <c r="A190" s="33">
        <v>218</v>
      </c>
      <c r="B190" s="33" t="s">
        <v>313</v>
      </c>
      <c r="C190" s="33" t="s">
        <v>314</v>
      </c>
      <c r="D190" s="33" t="s">
        <v>1465</v>
      </c>
      <c r="E190" s="33" t="s">
        <v>1510</v>
      </c>
      <c r="F190" s="33" t="s">
        <v>1511</v>
      </c>
      <c r="G190" s="33">
        <v>1</v>
      </c>
      <c r="H190" s="33"/>
      <c r="I190" s="33"/>
      <c r="J190" s="33">
        <v>6500</v>
      </c>
      <c r="K190" s="33"/>
    </row>
    <row r="191" spans="1:11" x14ac:dyDescent="0.25">
      <c r="A191" s="33">
        <v>219</v>
      </c>
      <c r="B191" s="33" t="s">
        <v>319</v>
      </c>
      <c r="C191" s="33" t="s">
        <v>320</v>
      </c>
      <c r="D191" s="33" t="s">
        <v>1465</v>
      </c>
      <c r="E191" s="33" t="s">
        <v>1512</v>
      </c>
      <c r="F191" s="33" t="s">
        <v>1513</v>
      </c>
      <c r="G191" s="33">
        <v>1</v>
      </c>
      <c r="H191" s="33"/>
      <c r="I191" s="33"/>
      <c r="J191" s="33">
        <v>3200</v>
      </c>
      <c r="K191" s="33"/>
    </row>
    <row r="192" spans="1:11" x14ac:dyDescent="0.25">
      <c r="A192" s="33">
        <v>220</v>
      </c>
      <c r="B192" s="33" t="s">
        <v>596</v>
      </c>
      <c r="C192" s="33" t="s">
        <v>43</v>
      </c>
      <c r="D192" s="33" t="s">
        <v>1465</v>
      </c>
      <c r="E192" s="33" t="s">
        <v>1496</v>
      </c>
      <c r="F192" s="33" t="s">
        <v>1527</v>
      </c>
      <c r="G192" s="33">
        <v>1</v>
      </c>
      <c r="H192" s="33"/>
      <c r="I192" s="33"/>
      <c r="J192" s="33">
        <v>4600000</v>
      </c>
      <c r="K192" s="33"/>
    </row>
    <row r="193" spans="1:11" x14ac:dyDescent="0.25">
      <c r="A193" s="33">
        <v>221</v>
      </c>
      <c r="B193" s="33" t="s">
        <v>600</v>
      </c>
      <c r="C193" s="33" t="s">
        <v>43</v>
      </c>
      <c r="D193" s="33" t="s">
        <v>1465</v>
      </c>
      <c r="E193" s="33" t="s">
        <v>1496</v>
      </c>
      <c r="F193" s="33" t="s">
        <v>1528</v>
      </c>
      <c r="G193" s="33">
        <v>1</v>
      </c>
      <c r="H193" s="33"/>
      <c r="I193" s="33"/>
      <c r="J193" s="33">
        <v>4600000</v>
      </c>
      <c r="K193" s="33"/>
    </row>
    <row r="194" spans="1:11" x14ac:dyDescent="0.25">
      <c r="A194" s="32">
        <v>222</v>
      </c>
      <c r="B194" s="32" t="s">
        <v>604</v>
      </c>
      <c r="C194" s="32" t="s">
        <v>605</v>
      </c>
      <c r="D194" s="32" t="s">
        <v>1463</v>
      </c>
      <c r="E194" s="32"/>
      <c r="F194" s="32"/>
      <c r="G194" s="32"/>
      <c r="H194" s="32"/>
      <c r="I194" s="32"/>
      <c r="J194" s="32">
        <v>0</v>
      </c>
      <c r="K194" s="32" t="s">
        <v>1464</v>
      </c>
    </row>
    <row r="195" spans="1:11" x14ac:dyDescent="0.25">
      <c r="A195" s="33">
        <v>223</v>
      </c>
      <c r="B195" s="33" t="s">
        <v>20</v>
      </c>
      <c r="C195" s="33" t="s">
        <v>21</v>
      </c>
      <c r="D195" s="33" t="s">
        <v>1465</v>
      </c>
      <c r="E195" s="33" t="s">
        <v>1466</v>
      </c>
      <c r="F195" s="33" t="s">
        <v>1467</v>
      </c>
      <c r="G195" s="33">
        <v>1</v>
      </c>
      <c r="H195" s="33"/>
      <c r="I195" s="33"/>
      <c r="J195" s="33">
        <v>15807.93</v>
      </c>
      <c r="K195" s="33"/>
    </row>
    <row r="196" spans="1:11" x14ac:dyDescent="0.25">
      <c r="A196" s="32">
        <v>224</v>
      </c>
      <c r="B196" s="32" t="s">
        <v>26</v>
      </c>
      <c r="C196" s="32" t="s">
        <v>21</v>
      </c>
      <c r="D196" s="32" t="s">
        <v>1468</v>
      </c>
      <c r="E196" s="32"/>
      <c r="F196" s="32"/>
      <c r="G196" s="32"/>
      <c r="H196" s="32"/>
      <c r="I196" s="32"/>
      <c r="J196" s="32">
        <v>0</v>
      </c>
      <c r="K196" s="32" t="s">
        <v>1469</v>
      </c>
    </row>
    <row r="197" spans="1:11" x14ac:dyDescent="0.25">
      <c r="A197" s="33">
        <v>225</v>
      </c>
      <c r="B197" s="33" t="s">
        <v>614</v>
      </c>
      <c r="C197" s="33" t="s">
        <v>32</v>
      </c>
      <c r="D197" s="33" t="s">
        <v>1465</v>
      </c>
      <c r="E197" s="33" t="s">
        <v>1470</v>
      </c>
      <c r="F197" s="33" t="s">
        <v>1529</v>
      </c>
      <c r="G197" s="33">
        <v>1</v>
      </c>
      <c r="H197" s="33"/>
      <c r="I197" s="33"/>
      <c r="J197" s="33">
        <v>32490</v>
      </c>
      <c r="K197" s="33"/>
    </row>
    <row r="198" spans="1:11" x14ac:dyDescent="0.25">
      <c r="A198" s="33">
        <v>226</v>
      </c>
      <c r="B198" s="33" t="s">
        <v>617</v>
      </c>
      <c r="C198" s="33" t="s">
        <v>32</v>
      </c>
      <c r="D198" s="33" t="s">
        <v>1465</v>
      </c>
      <c r="E198" s="33" t="s">
        <v>1470</v>
      </c>
      <c r="F198" s="33" t="s">
        <v>1530</v>
      </c>
      <c r="G198" s="33">
        <v>1</v>
      </c>
      <c r="H198" s="33"/>
      <c r="I198" s="33"/>
      <c r="J198" s="33">
        <v>3380.89</v>
      </c>
      <c r="K198" s="33"/>
    </row>
    <row r="199" spans="1:11" x14ac:dyDescent="0.25">
      <c r="A199" s="33">
        <v>227</v>
      </c>
      <c r="B199" s="33" t="s">
        <v>621</v>
      </c>
      <c r="C199" s="33" t="s">
        <v>32</v>
      </c>
      <c r="D199" s="33" t="s">
        <v>1465</v>
      </c>
      <c r="E199" s="33" t="s">
        <v>1470</v>
      </c>
      <c r="F199" s="33" t="s">
        <v>1531</v>
      </c>
      <c r="G199" s="33">
        <v>1</v>
      </c>
      <c r="H199" s="33"/>
      <c r="I199" s="33"/>
      <c r="J199" s="33">
        <v>11587.2</v>
      </c>
      <c r="K199" s="33"/>
    </row>
    <row r="200" spans="1:11" x14ac:dyDescent="0.25">
      <c r="A200" s="33">
        <v>228</v>
      </c>
      <c r="B200" s="33" t="s">
        <v>164</v>
      </c>
      <c r="C200" s="33" t="s">
        <v>32</v>
      </c>
      <c r="D200" s="33" t="s">
        <v>1465</v>
      </c>
      <c r="E200" s="33" t="s">
        <v>1470</v>
      </c>
      <c r="F200" s="33" t="s">
        <v>1487</v>
      </c>
      <c r="G200" s="33">
        <v>1</v>
      </c>
      <c r="H200" s="33"/>
      <c r="I200" s="33"/>
      <c r="J200" s="33">
        <v>52621.06</v>
      </c>
      <c r="K200" s="33"/>
    </row>
    <row r="201" spans="1:11" x14ac:dyDescent="0.25">
      <c r="A201" s="33">
        <v>229</v>
      </c>
      <c r="B201" s="33" t="s">
        <v>629</v>
      </c>
      <c r="C201" s="33" t="s">
        <v>43</v>
      </c>
      <c r="D201" s="33" t="s">
        <v>1465</v>
      </c>
      <c r="E201" s="33" t="s">
        <v>1496</v>
      </c>
      <c r="F201" s="33" t="s">
        <v>1532</v>
      </c>
      <c r="G201" s="33">
        <v>1</v>
      </c>
      <c r="H201" s="33"/>
      <c r="I201" s="33"/>
      <c r="J201" s="33">
        <v>5210308</v>
      </c>
      <c r="K201" s="33"/>
    </row>
    <row r="202" spans="1:11" x14ac:dyDescent="0.25">
      <c r="A202" s="32">
        <v>230</v>
      </c>
      <c r="B202" s="32" t="s">
        <v>634</v>
      </c>
      <c r="C202" s="32" t="s">
        <v>605</v>
      </c>
      <c r="D202" s="32" t="s">
        <v>1463</v>
      </c>
      <c r="E202" s="32"/>
      <c r="F202" s="32"/>
      <c r="G202" s="32"/>
      <c r="H202" s="32"/>
      <c r="I202" s="32"/>
      <c r="J202" s="32">
        <v>0</v>
      </c>
      <c r="K202" s="32" t="s">
        <v>1464</v>
      </c>
    </row>
    <row r="203" spans="1:11" x14ac:dyDescent="0.25">
      <c r="A203" s="33">
        <v>231</v>
      </c>
      <c r="B203" s="33" t="s">
        <v>20</v>
      </c>
      <c r="C203" s="33" t="s">
        <v>21</v>
      </c>
      <c r="D203" s="33" t="s">
        <v>1465</v>
      </c>
      <c r="E203" s="33" t="s">
        <v>1466</v>
      </c>
      <c r="F203" s="33" t="s">
        <v>1467</v>
      </c>
      <c r="G203" s="33">
        <v>1</v>
      </c>
      <c r="H203" s="33"/>
      <c r="I203" s="33"/>
      <c r="J203" s="33">
        <v>15807.93</v>
      </c>
      <c r="K203" s="33"/>
    </row>
    <row r="204" spans="1:11" x14ac:dyDescent="0.25">
      <c r="A204" s="32">
        <v>232</v>
      </c>
      <c r="B204" s="32" t="s">
        <v>26</v>
      </c>
      <c r="C204" s="32" t="s">
        <v>21</v>
      </c>
      <c r="D204" s="32" t="s">
        <v>1468</v>
      </c>
      <c r="E204" s="32"/>
      <c r="F204" s="32"/>
      <c r="G204" s="32"/>
      <c r="H204" s="32"/>
      <c r="I204" s="32"/>
      <c r="J204" s="32">
        <v>0</v>
      </c>
      <c r="K204" s="32" t="s">
        <v>1469</v>
      </c>
    </row>
    <row r="205" spans="1:11" x14ac:dyDescent="0.25">
      <c r="A205" s="33">
        <v>233</v>
      </c>
      <c r="B205" s="33" t="s">
        <v>617</v>
      </c>
      <c r="C205" s="33" t="s">
        <v>32</v>
      </c>
      <c r="D205" s="33" t="s">
        <v>1465</v>
      </c>
      <c r="E205" s="33" t="s">
        <v>1470</v>
      </c>
      <c r="F205" s="33" t="s">
        <v>1530</v>
      </c>
      <c r="G205" s="33">
        <v>1</v>
      </c>
      <c r="H205" s="33"/>
      <c r="I205" s="33"/>
      <c r="J205" s="33">
        <v>3380.89</v>
      </c>
      <c r="K205" s="33"/>
    </row>
    <row r="206" spans="1:11" x14ac:dyDescent="0.25">
      <c r="A206" s="33">
        <v>234</v>
      </c>
      <c r="B206" s="33" t="s">
        <v>621</v>
      </c>
      <c r="C206" s="33" t="s">
        <v>32</v>
      </c>
      <c r="D206" s="33" t="s">
        <v>1465</v>
      </c>
      <c r="E206" s="33" t="s">
        <v>1470</v>
      </c>
      <c r="F206" s="33" t="s">
        <v>1531</v>
      </c>
      <c r="G206" s="33">
        <v>1</v>
      </c>
      <c r="H206" s="33"/>
      <c r="I206" s="33"/>
      <c r="J206" s="33">
        <v>11587.2</v>
      </c>
      <c r="K206" s="33"/>
    </row>
    <row r="207" spans="1:11" x14ac:dyDescent="0.25">
      <c r="A207" s="33">
        <v>235</v>
      </c>
      <c r="B207" s="33" t="s">
        <v>164</v>
      </c>
      <c r="C207" s="33" t="s">
        <v>32</v>
      </c>
      <c r="D207" s="33" t="s">
        <v>1465</v>
      </c>
      <c r="E207" s="33" t="s">
        <v>1470</v>
      </c>
      <c r="F207" s="33" t="s">
        <v>1487</v>
      </c>
      <c r="G207" s="33">
        <v>1</v>
      </c>
      <c r="H207" s="33"/>
      <c r="I207" s="33"/>
      <c r="J207" s="33">
        <v>52621.06</v>
      </c>
      <c r="K207" s="33"/>
    </row>
    <row r="208" spans="1:11" x14ac:dyDescent="0.25">
      <c r="A208" s="33">
        <v>236</v>
      </c>
      <c r="B208" s="33" t="s">
        <v>629</v>
      </c>
      <c r="C208" s="33" t="s">
        <v>43</v>
      </c>
      <c r="D208" s="33" t="s">
        <v>1465</v>
      </c>
      <c r="E208" s="33" t="s">
        <v>1496</v>
      </c>
      <c r="F208" s="33" t="s">
        <v>1532</v>
      </c>
      <c r="G208" s="33">
        <v>1</v>
      </c>
      <c r="H208" s="33"/>
      <c r="I208" s="33"/>
      <c r="J208" s="33">
        <v>5210308</v>
      </c>
      <c r="K208" s="33"/>
    </row>
    <row r="209" spans="1:11" x14ac:dyDescent="0.25">
      <c r="A209" s="32">
        <v>237</v>
      </c>
      <c r="B209" s="32" t="s">
        <v>648</v>
      </c>
      <c r="C209" s="32" t="s">
        <v>649</v>
      </c>
      <c r="D209" s="32" t="s">
        <v>1463</v>
      </c>
      <c r="E209" s="32"/>
      <c r="F209" s="32"/>
      <c r="G209" s="32"/>
      <c r="H209" s="32"/>
      <c r="I209" s="32"/>
      <c r="J209" s="32">
        <v>0</v>
      </c>
      <c r="K209" s="32" t="s">
        <v>1464</v>
      </c>
    </row>
    <row r="210" spans="1:11" x14ac:dyDescent="0.25">
      <c r="A210" s="33">
        <v>238</v>
      </c>
      <c r="B210" s="33" t="s">
        <v>20</v>
      </c>
      <c r="C210" s="33" t="s">
        <v>21</v>
      </c>
      <c r="D210" s="33" t="s">
        <v>1465</v>
      </c>
      <c r="E210" s="33" t="s">
        <v>1466</v>
      </c>
      <c r="F210" s="33" t="s">
        <v>1467</v>
      </c>
      <c r="G210" s="33">
        <v>1</v>
      </c>
      <c r="H210" s="33"/>
      <c r="I210" s="33"/>
      <c r="J210" s="33">
        <v>15807.93</v>
      </c>
      <c r="K210" s="33"/>
    </row>
    <row r="211" spans="1:11" x14ac:dyDescent="0.25">
      <c r="A211" s="33">
        <v>239</v>
      </c>
      <c r="B211" s="33" t="s">
        <v>655</v>
      </c>
      <c r="C211" s="33" t="s">
        <v>32</v>
      </c>
      <c r="D211" s="33" t="s">
        <v>1465</v>
      </c>
      <c r="E211" s="33" t="s">
        <v>1470</v>
      </c>
      <c r="F211" s="33" t="s">
        <v>1533</v>
      </c>
      <c r="G211" s="33">
        <v>1</v>
      </c>
      <c r="H211" s="33"/>
      <c r="I211" s="33"/>
      <c r="J211" s="33">
        <v>258</v>
      </c>
      <c r="K211" s="33"/>
    </row>
    <row r="212" spans="1:11" x14ac:dyDescent="0.25">
      <c r="A212" s="33">
        <v>240</v>
      </c>
      <c r="B212" s="33" t="s">
        <v>660</v>
      </c>
      <c r="C212" s="33" t="s">
        <v>32</v>
      </c>
      <c r="D212" s="33" t="s">
        <v>1465</v>
      </c>
      <c r="E212" s="33" t="s">
        <v>1470</v>
      </c>
      <c r="F212" s="33" t="s">
        <v>1534</v>
      </c>
      <c r="G212" s="33">
        <v>1</v>
      </c>
      <c r="H212" s="33"/>
      <c r="I212" s="33"/>
      <c r="J212" s="33">
        <v>12423.31</v>
      </c>
      <c r="K212" s="33"/>
    </row>
    <row r="213" spans="1:11" x14ac:dyDescent="0.25">
      <c r="A213" s="33">
        <v>241</v>
      </c>
      <c r="B213" s="33" t="s">
        <v>105</v>
      </c>
      <c r="C213" s="33" t="s">
        <v>60</v>
      </c>
      <c r="D213" s="33" t="s">
        <v>1465</v>
      </c>
      <c r="E213" s="33" t="s">
        <v>1474</v>
      </c>
      <c r="F213" s="33" t="s">
        <v>1482</v>
      </c>
      <c r="G213" s="33">
        <v>1</v>
      </c>
      <c r="H213" s="33"/>
      <c r="I213" s="33"/>
      <c r="J213" s="33">
        <v>0</v>
      </c>
      <c r="K213" s="33"/>
    </row>
    <row r="214" spans="1:11" x14ac:dyDescent="0.25">
      <c r="A214" s="33">
        <v>242</v>
      </c>
      <c r="B214" s="33" t="s">
        <v>667</v>
      </c>
      <c r="C214" s="33" t="s">
        <v>314</v>
      </c>
      <c r="D214" s="33" t="s">
        <v>1465</v>
      </c>
      <c r="E214" s="33" t="s">
        <v>1510</v>
      </c>
      <c r="F214" s="33" t="s">
        <v>1535</v>
      </c>
      <c r="G214" s="33">
        <v>1</v>
      </c>
      <c r="H214" s="33"/>
      <c r="I214" s="33"/>
      <c r="J214" s="33">
        <v>600</v>
      </c>
      <c r="K214" s="33"/>
    </row>
    <row r="215" spans="1:11" x14ac:dyDescent="0.25">
      <c r="A215" s="33">
        <v>243</v>
      </c>
      <c r="B215" s="33" t="s">
        <v>671</v>
      </c>
      <c r="C215" s="33" t="s">
        <v>672</v>
      </c>
      <c r="D215" s="33" t="s">
        <v>1465</v>
      </c>
      <c r="E215" s="33" t="s">
        <v>1536</v>
      </c>
      <c r="F215" s="33" t="s">
        <v>1537</v>
      </c>
      <c r="G215" s="33">
        <v>1</v>
      </c>
      <c r="H215" s="33"/>
      <c r="I215" s="33"/>
      <c r="J215" s="33">
        <v>1200</v>
      </c>
      <c r="K215" s="33"/>
    </row>
    <row r="216" spans="1:11" x14ac:dyDescent="0.25">
      <c r="A216" s="33">
        <v>244</v>
      </c>
      <c r="B216" s="33" t="s">
        <v>677</v>
      </c>
      <c r="C216" s="33" t="s">
        <v>314</v>
      </c>
      <c r="D216" s="33" t="s">
        <v>1465</v>
      </c>
      <c r="E216" s="33" t="s">
        <v>1510</v>
      </c>
      <c r="F216" s="33" t="s">
        <v>1538</v>
      </c>
      <c r="G216" s="33">
        <v>1</v>
      </c>
      <c r="H216" s="33"/>
      <c r="I216" s="33"/>
      <c r="J216" s="33">
        <v>65000</v>
      </c>
      <c r="K216" s="33"/>
    </row>
    <row r="217" spans="1:11" x14ac:dyDescent="0.25">
      <c r="A217" s="33">
        <v>245</v>
      </c>
      <c r="B217" s="33" t="s">
        <v>682</v>
      </c>
      <c r="C217" s="33" t="s">
        <v>314</v>
      </c>
      <c r="D217" s="33" t="s">
        <v>1465</v>
      </c>
      <c r="E217" s="33" t="s">
        <v>1510</v>
      </c>
      <c r="F217" s="33" t="s">
        <v>1539</v>
      </c>
      <c r="G217" s="33">
        <v>1</v>
      </c>
      <c r="H217" s="33"/>
      <c r="I217" s="33"/>
      <c r="J217" s="33">
        <v>14000</v>
      </c>
      <c r="K217" s="33"/>
    </row>
    <row r="218" spans="1:11" x14ac:dyDescent="0.25">
      <c r="A218" s="32">
        <v>248</v>
      </c>
      <c r="B218" s="32" t="s">
        <v>687</v>
      </c>
      <c r="C218" s="32" t="s">
        <v>118</v>
      </c>
      <c r="D218" s="32" t="s">
        <v>1463</v>
      </c>
      <c r="E218" s="32"/>
      <c r="F218" s="32"/>
      <c r="G218" s="32"/>
      <c r="H218" s="32"/>
      <c r="I218" s="32"/>
      <c r="J218" s="32">
        <v>0</v>
      </c>
      <c r="K218" s="32" t="s">
        <v>1464</v>
      </c>
    </row>
    <row r="219" spans="1:11" x14ac:dyDescent="0.25">
      <c r="A219" s="33">
        <v>249</v>
      </c>
      <c r="B219" s="33" t="s">
        <v>20</v>
      </c>
      <c r="C219" s="33" t="s">
        <v>21</v>
      </c>
      <c r="D219" s="33" t="s">
        <v>1465</v>
      </c>
      <c r="E219" s="33" t="s">
        <v>1466</v>
      </c>
      <c r="F219" s="33" t="s">
        <v>1467</v>
      </c>
      <c r="G219" s="33">
        <v>1</v>
      </c>
      <c r="H219" s="33"/>
      <c r="I219" s="33"/>
      <c r="J219" s="33">
        <v>15807.93</v>
      </c>
      <c r="K219" s="33"/>
    </row>
    <row r="220" spans="1:11" x14ac:dyDescent="0.25">
      <c r="A220" s="32">
        <v>250</v>
      </c>
      <c r="B220" s="32" t="s">
        <v>26</v>
      </c>
      <c r="C220" s="32" t="s">
        <v>21</v>
      </c>
      <c r="D220" s="32" t="s">
        <v>1468</v>
      </c>
      <c r="E220" s="32"/>
      <c r="F220" s="32"/>
      <c r="G220" s="32"/>
      <c r="H220" s="32"/>
      <c r="I220" s="32"/>
      <c r="J220" s="32">
        <v>0</v>
      </c>
      <c r="K220" s="32" t="s">
        <v>1469</v>
      </c>
    </row>
    <row r="221" spans="1:11" x14ac:dyDescent="0.25">
      <c r="A221" s="33">
        <v>251</v>
      </c>
      <c r="B221" s="33" t="s">
        <v>194</v>
      </c>
      <c r="C221" s="33" t="s">
        <v>32</v>
      </c>
      <c r="D221" s="33" t="s">
        <v>1465</v>
      </c>
      <c r="E221" s="33" t="s">
        <v>1470</v>
      </c>
      <c r="F221" s="33" t="s">
        <v>1491</v>
      </c>
      <c r="G221" s="33">
        <v>1</v>
      </c>
      <c r="H221" s="33"/>
      <c r="I221" s="33"/>
      <c r="J221" s="33">
        <v>54800</v>
      </c>
      <c r="K221" s="33"/>
    </row>
    <row r="222" spans="1:11" x14ac:dyDescent="0.25">
      <c r="A222" s="33">
        <v>252</v>
      </c>
      <c r="B222" s="33" t="s">
        <v>154</v>
      </c>
      <c r="C222" s="33" t="s">
        <v>32</v>
      </c>
      <c r="D222" s="33" t="s">
        <v>1465</v>
      </c>
      <c r="E222" s="33" t="s">
        <v>1470</v>
      </c>
      <c r="F222" s="33" t="s">
        <v>1485</v>
      </c>
      <c r="G222" s="33">
        <v>1</v>
      </c>
      <c r="H222" s="33"/>
      <c r="I222" s="33"/>
      <c r="J222" s="33">
        <v>580</v>
      </c>
      <c r="K222" s="33"/>
    </row>
    <row r="223" spans="1:11" x14ac:dyDescent="0.25">
      <c r="A223" s="33">
        <v>253</v>
      </c>
      <c r="B223" s="33" t="s">
        <v>159</v>
      </c>
      <c r="C223" s="33" t="s">
        <v>32</v>
      </c>
      <c r="D223" s="33" t="s">
        <v>1465</v>
      </c>
      <c r="E223" s="33" t="s">
        <v>1470</v>
      </c>
      <c r="F223" s="33" t="s">
        <v>1486</v>
      </c>
      <c r="G223" s="33">
        <v>1</v>
      </c>
      <c r="H223" s="33"/>
      <c r="I223" s="33"/>
      <c r="J223" s="33">
        <v>45270</v>
      </c>
      <c r="K223" s="33"/>
    </row>
    <row r="224" spans="1:11" x14ac:dyDescent="0.25">
      <c r="A224" s="33">
        <v>254</v>
      </c>
      <c r="B224" s="33" t="s">
        <v>205</v>
      </c>
      <c r="C224" s="33" t="s">
        <v>32</v>
      </c>
      <c r="D224" s="33" t="s">
        <v>1465</v>
      </c>
      <c r="E224" s="33" t="s">
        <v>1470</v>
      </c>
      <c r="F224" s="33" t="s">
        <v>1492</v>
      </c>
      <c r="G224" s="33">
        <v>1</v>
      </c>
      <c r="H224" s="33"/>
      <c r="I224" s="33"/>
      <c r="J224" s="33">
        <v>102000</v>
      </c>
      <c r="K224" s="33"/>
    </row>
    <row r="225" spans="1:11" x14ac:dyDescent="0.25">
      <c r="A225" s="33">
        <v>255</v>
      </c>
      <c r="B225" s="33" t="s">
        <v>210</v>
      </c>
      <c r="C225" s="33" t="s">
        <v>32</v>
      </c>
      <c r="D225" s="33" t="s">
        <v>1465</v>
      </c>
      <c r="E225" s="33" t="s">
        <v>1470</v>
      </c>
      <c r="F225" s="33" t="s">
        <v>1493</v>
      </c>
      <c r="G225" s="33">
        <v>1</v>
      </c>
      <c r="H225" s="33"/>
      <c r="I225" s="33"/>
      <c r="J225" s="33">
        <v>873</v>
      </c>
      <c r="K225" s="33"/>
    </row>
    <row r="226" spans="1:11" x14ac:dyDescent="0.25">
      <c r="A226" s="33">
        <v>256</v>
      </c>
      <c r="B226" s="33" t="s">
        <v>215</v>
      </c>
      <c r="C226" s="33" t="s">
        <v>32</v>
      </c>
      <c r="D226" s="33" t="s">
        <v>1465</v>
      </c>
      <c r="E226" s="33" t="s">
        <v>1470</v>
      </c>
      <c r="F226" s="33" t="s">
        <v>1494</v>
      </c>
      <c r="G226" s="33">
        <v>1</v>
      </c>
      <c r="H226" s="33"/>
      <c r="I226" s="33"/>
      <c r="J226" s="33">
        <v>3200</v>
      </c>
      <c r="K226" s="33"/>
    </row>
    <row r="227" spans="1:11" x14ac:dyDescent="0.25">
      <c r="A227" s="33">
        <v>257</v>
      </c>
      <c r="B227" s="33" t="s">
        <v>164</v>
      </c>
      <c r="C227" s="33" t="s">
        <v>32</v>
      </c>
      <c r="D227" s="33" t="s">
        <v>1465</v>
      </c>
      <c r="E227" s="33" t="s">
        <v>1470</v>
      </c>
      <c r="F227" s="33" t="s">
        <v>1487</v>
      </c>
      <c r="G227" s="33">
        <v>1</v>
      </c>
      <c r="H227" s="33"/>
      <c r="I227" s="33"/>
      <c r="J227" s="33">
        <v>52621.06</v>
      </c>
      <c r="K227" s="33"/>
    </row>
    <row r="228" spans="1:11" x14ac:dyDescent="0.25">
      <c r="A228" s="33">
        <v>258</v>
      </c>
      <c r="B228" s="33" t="s">
        <v>105</v>
      </c>
      <c r="C228" s="33" t="s">
        <v>60</v>
      </c>
      <c r="D228" s="33" t="s">
        <v>1465</v>
      </c>
      <c r="E228" s="33" t="s">
        <v>1474</v>
      </c>
      <c r="F228" s="33" t="s">
        <v>1482</v>
      </c>
      <c r="G228" s="33">
        <v>1</v>
      </c>
      <c r="H228" s="33"/>
      <c r="I228" s="33"/>
      <c r="J228" s="33">
        <v>0</v>
      </c>
      <c r="K228" s="33"/>
    </row>
    <row r="229" spans="1:11" x14ac:dyDescent="0.25">
      <c r="A229" s="33">
        <v>259</v>
      </c>
      <c r="B229" s="33" t="s">
        <v>719</v>
      </c>
      <c r="C229" s="33" t="s">
        <v>60</v>
      </c>
      <c r="D229" s="33" t="s">
        <v>1465</v>
      </c>
      <c r="E229" s="33" t="s">
        <v>1474</v>
      </c>
      <c r="F229" s="33" t="s">
        <v>1540</v>
      </c>
      <c r="G229" s="33">
        <v>1</v>
      </c>
      <c r="H229" s="33"/>
      <c r="I229" s="33"/>
      <c r="J229" s="33">
        <v>490000</v>
      </c>
      <c r="K229" s="33"/>
    </row>
    <row r="230" spans="1:11" x14ac:dyDescent="0.25">
      <c r="A230" s="33">
        <v>260</v>
      </c>
      <c r="B230" s="33" t="s">
        <v>231</v>
      </c>
      <c r="C230" s="33" t="s">
        <v>43</v>
      </c>
      <c r="D230" s="33" t="s">
        <v>1465</v>
      </c>
      <c r="E230" s="33" t="s">
        <v>1496</v>
      </c>
      <c r="F230" s="33" t="s">
        <v>1497</v>
      </c>
      <c r="G230" s="33">
        <v>1</v>
      </c>
      <c r="H230" s="33"/>
      <c r="I230" s="33"/>
      <c r="J230" s="33">
        <v>8200000</v>
      </c>
      <c r="K230" s="33"/>
    </row>
    <row r="231" spans="1:11" x14ac:dyDescent="0.25">
      <c r="A231" s="33">
        <v>261</v>
      </c>
      <c r="B231" s="33" t="s">
        <v>236</v>
      </c>
      <c r="C231" s="33" t="s">
        <v>43</v>
      </c>
      <c r="D231" s="33" t="s">
        <v>1465</v>
      </c>
      <c r="E231" s="33" t="s">
        <v>1496</v>
      </c>
      <c r="F231" s="33" t="s">
        <v>1498</v>
      </c>
      <c r="G231" s="33">
        <v>1</v>
      </c>
      <c r="H231" s="33"/>
      <c r="I231" s="33"/>
      <c r="J231" s="33">
        <v>650000</v>
      </c>
      <c r="K231" s="33"/>
    </row>
    <row r="232" spans="1:11" x14ac:dyDescent="0.25">
      <c r="A232" s="33">
        <v>262</v>
      </c>
      <c r="B232" s="33" t="s">
        <v>246</v>
      </c>
      <c r="C232" s="33" t="s">
        <v>43</v>
      </c>
      <c r="D232" s="33" t="s">
        <v>1465</v>
      </c>
      <c r="E232" s="33" t="s">
        <v>1496</v>
      </c>
      <c r="F232" s="33" t="s">
        <v>1500</v>
      </c>
      <c r="G232" s="33">
        <v>1</v>
      </c>
      <c r="H232" s="33"/>
      <c r="I232" s="33"/>
      <c r="J232" s="33">
        <v>10300000</v>
      </c>
      <c r="K232" s="33"/>
    </row>
    <row r="233" spans="1:11" x14ac:dyDescent="0.25">
      <c r="A233" s="33">
        <v>263</v>
      </c>
      <c r="B233" s="33" t="s">
        <v>730</v>
      </c>
      <c r="C233" s="33" t="s">
        <v>60</v>
      </c>
      <c r="D233" s="33" t="s">
        <v>1465</v>
      </c>
      <c r="E233" s="33" t="s">
        <v>1474</v>
      </c>
      <c r="F233" s="33" t="s">
        <v>1541</v>
      </c>
      <c r="G233" s="33">
        <v>1</v>
      </c>
      <c r="H233" s="33"/>
      <c r="I233" s="33"/>
      <c r="J233" s="33">
        <v>2000000</v>
      </c>
      <c r="K233" s="33"/>
    </row>
    <row r="234" spans="1:11" x14ac:dyDescent="0.25">
      <c r="A234" s="33">
        <v>264</v>
      </c>
      <c r="B234" s="33" t="s">
        <v>735</v>
      </c>
      <c r="C234" s="33" t="s">
        <v>60</v>
      </c>
      <c r="D234" s="33" t="s">
        <v>1465</v>
      </c>
      <c r="E234" s="33" t="s">
        <v>1474</v>
      </c>
      <c r="F234" s="33" t="s">
        <v>1542</v>
      </c>
      <c r="G234" s="33">
        <v>1</v>
      </c>
      <c r="H234" s="33"/>
      <c r="I234" s="33"/>
      <c r="J234" s="33">
        <v>2000000</v>
      </c>
      <c r="K234" s="33"/>
    </row>
    <row r="235" spans="1:11" x14ac:dyDescent="0.25">
      <c r="A235" s="33">
        <v>265</v>
      </c>
      <c r="B235" s="33" t="s">
        <v>564</v>
      </c>
      <c r="C235" s="33" t="s">
        <v>179</v>
      </c>
      <c r="D235" s="33" t="s">
        <v>1465</v>
      </c>
      <c r="E235" s="33" t="s">
        <v>1489</v>
      </c>
      <c r="F235" s="33" t="s">
        <v>1526</v>
      </c>
      <c r="G235" s="33">
        <v>1</v>
      </c>
      <c r="H235" s="33"/>
      <c r="I235" s="33"/>
      <c r="J235" s="33">
        <v>25000</v>
      </c>
      <c r="K235" s="33"/>
    </row>
    <row r="236" spans="1:11" x14ac:dyDescent="0.25">
      <c r="A236" s="32">
        <v>266</v>
      </c>
      <c r="B236" s="32" t="s">
        <v>264</v>
      </c>
      <c r="C236" s="32" t="s">
        <v>43</v>
      </c>
      <c r="D236" s="32" t="s">
        <v>1463</v>
      </c>
      <c r="E236" s="32"/>
      <c r="F236" s="32"/>
      <c r="G236" s="32"/>
      <c r="H236" s="32"/>
      <c r="I236" s="32"/>
      <c r="J236" s="32">
        <v>0</v>
      </c>
      <c r="K236" s="32" t="s">
        <v>1464</v>
      </c>
    </row>
    <row r="237" spans="1:11" x14ac:dyDescent="0.25">
      <c r="A237" s="33">
        <v>267</v>
      </c>
      <c r="B237" s="33" t="s">
        <v>20</v>
      </c>
      <c r="C237" s="33" t="s">
        <v>21</v>
      </c>
      <c r="D237" s="33" t="s">
        <v>1465</v>
      </c>
      <c r="E237" s="33" t="s">
        <v>1466</v>
      </c>
      <c r="F237" s="33" t="s">
        <v>1467</v>
      </c>
      <c r="G237" s="33">
        <v>1</v>
      </c>
      <c r="H237" s="33"/>
      <c r="I237" s="33"/>
      <c r="J237" s="33">
        <v>15807.93</v>
      </c>
      <c r="K237" s="33"/>
    </row>
    <row r="238" spans="1:11" x14ac:dyDescent="0.25">
      <c r="A238" s="32">
        <v>268</v>
      </c>
      <c r="B238" s="32" t="s">
        <v>26</v>
      </c>
      <c r="C238" s="32" t="s">
        <v>21</v>
      </c>
      <c r="D238" s="32" t="s">
        <v>1468</v>
      </c>
      <c r="E238" s="32"/>
      <c r="F238" s="32"/>
      <c r="G238" s="32"/>
      <c r="H238" s="32"/>
      <c r="I238" s="32"/>
      <c r="J238" s="32">
        <v>0</v>
      </c>
      <c r="K238" s="32" t="s">
        <v>1469</v>
      </c>
    </row>
    <row r="239" spans="1:11" x14ac:dyDescent="0.25">
      <c r="A239" s="33">
        <v>269</v>
      </c>
      <c r="B239" s="33" t="s">
        <v>194</v>
      </c>
      <c r="C239" s="33" t="s">
        <v>32</v>
      </c>
      <c r="D239" s="33" t="s">
        <v>1465</v>
      </c>
      <c r="E239" s="33" t="s">
        <v>1470</v>
      </c>
      <c r="F239" s="33" t="s">
        <v>1491</v>
      </c>
      <c r="G239" s="33">
        <v>1</v>
      </c>
      <c r="H239" s="33"/>
      <c r="I239" s="33"/>
      <c r="J239" s="33">
        <v>54800</v>
      </c>
      <c r="K239" s="33"/>
    </row>
    <row r="240" spans="1:11" x14ac:dyDescent="0.25">
      <c r="A240" s="33">
        <v>270</v>
      </c>
      <c r="B240" s="33" t="s">
        <v>159</v>
      </c>
      <c r="C240" s="33" t="s">
        <v>32</v>
      </c>
      <c r="D240" s="33" t="s">
        <v>1465</v>
      </c>
      <c r="E240" s="33" t="s">
        <v>1470</v>
      </c>
      <c r="F240" s="33" t="s">
        <v>1486</v>
      </c>
      <c r="G240" s="33">
        <v>1</v>
      </c>
      <c r="H240" s="33"/>
      <c r="I240" s="33"/>
      <c r="J240" s="33">
        <v>45270</v>
      </c>
      <c r="K240" s="33"/>
    </row>
    <row r="241" spans="1:11" x14ac:dyDescent="0.25">
      <c r="A241" s="33">
        <v>271</v>
      </c>
      <c r="B241" s="33" t="s">
        <v>279</v>
      </c>
      <c r="C241" s="33" t="s">
        <v>32</v>
      </c>
      <c r="D241" s="33" t="s">
        <v>1465</v>
      </c>
      <c r="E241" s="33" t="s">
        <v>1470</v>
      </c>
      <c r="F241" s="33" t="s">
        <v>1503</v>
      </c>
      <c r="G241" s="33">
        <v>1</v>
      </c>
      <c r="H241" s="33"/>
      <c r="I241" s="33"/>
      <c r="J241" s="33">
        <v>637.55999999999995</v>
      </c>
      <c r="K241" s="33"/>
    </row>
    <row r="242" spans="1:11" x14ac:dyDescent="0.25">
      <c r="A242" s="33">
        <v>272</v>
      </c>
      <c r="B242" s="33" t="s">
        <v>284</v>
      </c>
      <c r="C242" s="33" t="s">
        <v>32</v>
      </c>
      <c r="D242" s="33" t="s">
        <v>1465</v>
      </c>
      <c r="E242" s="33" t="s">
        <v>1470</v>
      </c>
      <c r="F242" s="33" t="s">
        <v>1504</v>
      </c>
      <c r="G242" s="33">
        <v>1</v>
      </c>
      <c r="H242" s="33"/>
      <c r="I242" s="33"/>
      <c r="J242" s="33">
        <v>650</v>
      </c>
      <c r="K242" s="33"/>
    </row>
    <row r="243" spans="1:11" x14ac:dyDescent="0.25">
      <c r="A243" s="33">
        <v>273</v>
      </c>
      <c r="B243" s="33" t="s">
        <v>289</v>
      </c>
      <c r="C243" s="33" t="s">
        <v>32</v>
      </c>
      <c r="D243" s="33" t="s">
        <v>1465</v>
      </c>
      <c r="E243" s="33" t="s">
        <v>1470</v>
      </c>
      <c r="F243" s="33" t="s">
        <v>1505</v>
      </c>
      <c r="G243" s="33">
        <v>1</v>
      </c>
      <c r="H243" s="33"/>
      <c r="I243" s="33"/>
      <c r="J243" s="33">
        <v>25650</v>
      </c>
      <c r="K243" s="33"/>
    </row>
    <row r="244" spans="1:11" x14ac:dyDescent="0.25">
      <c r="A244" s="33">
        <v>274</v>
      </c>
      <c r="B244" s="33" t="s">
        <v>293</v>
      </c>
      <c r="C244" s="33" t="s">
        <v>32</v>
      </c>
      <c r="D244" s="33" t="s">
        <v>1465</v>
      </c>
      <c r="E244" s="33" t="s">
        <v>1470</v>
      </c>
      <c r="F244" s="33" t="s">
        <v>1506</v>
      </c>
      <c r="G244" s="33">
        <v>1</v>
      </c>
      <c r="H244" s="33"/>
      <c r="I244" s="33"/>
      <c r="J244" s="33">
        <v>874.37</v>
      </c>
      <c r="K244" s="33"/>
    </row>
    <row r="245" spans="1:11" x14ac:dyDescent="0.25">
      <c r="A245" s="33">
        <v>275</v>
      </c>
      <c r="B245" s="33" t="s">
        <v>298</v>
      </c>
      <c r="C245" s="33" t="s">
        <v>32</v>
      </c>
      <c r="D245" s="33" t="s">
        <v>1465</v>
      </c>
      <c r="E245" s="33" t="s">
        <v>1470</v>
      </c>
      <c r="F245" s="33" t="s">
        <v>1507</v>
      </c>
      <c r="G245" s="33">
        <v>1</v>
      </c>
      <c r="H245" s="33"/>
      <c r="I245" s="33"/>
      <c r="J245" s="33">
        <v>645</v>
      </c>
      <c r="K245" s="33"/>
    </row>
    <row r="246" spans="1:11" x14ac:dyDescent="0.25">
      <c r="A246" s="33">
        <v>276</v>
      </c>
      <c r="B246" s="33" t="s">
        <v>303</v>
      </c>
      <c r="C246" s="33" t="s">
        <v>60</v>
      </c>
      <c r="D246" s="33" t="s">
        <v>1465</v>
      </c>
      <c r="E246" s="33" t="s">
        <v>1474</v>
      </c>
      <c r="F246" s="33" t="s">
        <v>1508</v>
      </c>
      <c r="G246" s="33">
        <v>1</v>
      </c>
      <c r="H246" s="33"/>
      <c r="I246" s="33"/>
      <c r="J246" s="33">
        <v>4500</v>
      </c>
      <c r="K246" s="33"/>
    </row>
    <row r="247" spans="1:11" x14ac:dyDescent="0.25">
      <c r="A247" s="33">
        <v>277</v>
      </c>
      <c r="B247" s="33" t="s">
        <v>308</v>
      </c>
      <c r="C247" s="33" t="s">
        <v>43</v>
      </c>
      <c r="D247" s="33" t="s">
        <v>1465</v>
      </c>
      <c r="E247" s="33" t="s">
        <v>1496</v>
      </c>
      <c r="F247" s="33" t="s">
        <v>1509</v>
      </c>
      <c r="G247" s="33">
        <v>1</v>
      </c>
      <c r="H247" s="33"/>
      <c r="I247" s="33"/>
      <c r="J247" s="33">
        <v>5941000</v>
      </c>
      <c r="K247" s="33"/>
    </row>
    <row r="248" spans="1:11" x14ac:dyDescent="0.25">
      <c r="A248" s="33">
        <v>278</v>
      </c>
      <c r="B248" s="33" t="s">
        <v>313</v>
      </c>
      <c r="C248" s="33" t="s">
        <v>314</v>
      </c>
      <c r="D248" s="33" t="s">
        <v>1465</v>
      </c>
      <c r="E248" s="33" t="s">
        <v>1510</v>
      </c>
      <c r="F248" s="33" t="s">
        <v>1511</v>
      </c>
      <c r="G248" s="33">
        <v>1</v>
      </c>
      <c r="H248" s="33"/>
      <c r="I248" s="33"/>
      <c r="J248" s="33">
        <v>6500</v>
      </c>
      <c r="K248" s="33"/>
    </row>
    <row r="249" spans="1:11" x14ac:dyDescent="0.25">
      <c r="A249" s="33">
        <v>279</v>
      </c>
      <c r="B249" s="33" t="s">
        <v>319</v>
      </c>
      <c r="C249" s="33" t="s">
        <v>320</v>
      </c>
      <c r="D249" s="33" t="s">
        <v>1465</v>
      </c>
      <c r="E249" s="33" t="s">
        <v>1512</v>
      </c>
      <c r="F249" s="33" t="s">
        <v>1513</v>
      </c>
      <c r="G249" s="33">
        <v>1</v>
      </c>
      <c r="H249" s="33"/>
      <c r="I249" s="33"/>
      <c r="J249" s="33">
        <v>3200</v>
      </c>
      <c r="K249" s="33"/>
    </row>
    <row r="250" spans="1:11" x14ac:dyDescent="0.25">
      <c r="A250" s="33">
        <v>280</v>
      </c>
      <c r="B250" s="33" t="s">
        <v>497</v>
      </c>
      <c r="C250" s="33" t="s">
        <v>43</v>
      </c>
      <c r="D250" s="33" t="s">
        <v>1465</v>
      </c>
      <c r="E250" s="33" t="s">
        <v>1496</v>
      </c>
      <c r="F250" s="33" t="s">
        <v>1519</v>
      </c>
      <c r="G250" s="33">
        <v>1</v>
      </c>
      <c r="H250" s="33"/>
      <c r="I250" s="33"/>
      <c r="J250" s="33">
        <v>4600000</v>
      </c>
      <c r="K250" s="33"/>
    </row>
    <row r="251" spans="1:11" x14ac:dyDescent="0.25">
      <c r="A251" s="34">
        <v>281</v>
      </c>
      <c r="B251" s="34" t="s">
        <v>500</v>
      </c>
      <c r="C251" s="34" t="s">
        <v>43</v>
      </c>
      <c r="D251" s="34" t="s">
        <v>1520</v>
      </c>
      <c r="E251" s="34" t="s">
        <v>1496</v>
      </c>
      <c r="F251" s="34" t="s">
        <v>1521</v>
      </c>
      <c r="G251" s="34">
        <v>0.98799999999999999</v>
      </c>
      <c r="H251" s="34" t="s">
        <v>1516</v>
      </c>
      <c r="I251" s="34">
        <v>0.98799999999999999</v>
      </c>
      <c r="J251" s="34" t="s">
        <v>502</v>
      </c>
      <c r="K251" s="34" t="s">
        <v>1522</v>
      </c>
    </row>
    <row r="252" spans="1:11" x14ac:dyDescent="0.25">
      <c r="A252" s="33">
        <v>282</v>
      </c>
      <c r="B252" s="33" t="s">
        <v>505</v>
      </c>
      <c r="C252" s="33" t="s">
        <v>43</v>
      </c>
      <c r="D252" s="33" t="s">
        <v>1465</v>
      </c>
      <c r="E252" s="33" t="s">
        <v>1496</v>
      </c>
      <c r="F252" s="33" t="s">
        <v>1523</v>
      </c>
      <c r="G252" s="33">
        <v>1</v>
      </c>
      <c r="H252" s="33"/>
      <c r="I252" s="33"/>
      <c r="J252" s="33">
        <v>4600000</v>
      </c>
      <c r="K252" s="33"/>
    </row>
    <row r="253" spans="1:11" x14ac:dyDescent="0.25">
      <c r="A253" s="33">
        <v>283</v>
      </c>
      <c r="B253" s="33" t="s">
        <v>775</v>
      </c>
      <c r="C253" s="33" t="s">
        <v>43</v>
      </c>
      <c r="D253" s="33" t="s">
        <v>1465</v>
      </c>
      <c r="E253" s="33" t="s">
        <v>1496</v>
      </c>
      <c r="F253" s="33" t="s">
        <v>1543</v>
      </c>
      <c r="G253" s="33">
        <v>1</v>
      </c>
      <c r="H253" s="33"/>
      <c r="I253" s="33"/>
      <c r="J253" s="33">
        <v>4600000</v>
      </c>
      <c r="K253" s="33"/>
    </row>
    <row r="254" spans="1:11" x14ac:dyDescent="0.25">
      <c r="A254" s="32">
        <v>286</v>
      </c>
      <c r="B254" s="32" t="s">
        <v>687</v>
      </c>
      <c r="C254" s="32" t="s">
        <v>118</v>
      </c>
      <c r="D254" s="32" t="s">
        <v>1463</v>
      </c>
      <c r="E254" s="32"/>
      <c r="F254" s="32"/>
      <c r="G254" s="32"/>
      <c r="H254" s="32"/>
      <c r="I254" s="32"/>
      <c r="J254" s="32">
        <v>0</v>
      </c>
      <c r="K254" s="32" t="s">
        <v>1464</v>
      </c>
    </row>
    <row r="255" spans="1:11" x14ac:dyDescent="0.25">
      <c r="A255" s="33">
        <v>287</v>
      </c>
      <c r="B255" s="33" t="s">
        <v>20</v>
      </c>
      <c r="C255" s="33" t="s">
        <v>21</v>
      </c>
      <c r="D255" s="33" t="s">
        <v>1465</v>
      </c>
      <c r="E255" s="33" t="s">
        <v>1466</v>
      </c>
      <c r="F255" s="33" t="s">
        <v>1467</v>
      </c>
      <c r="G255" s="33">
        <v>1</v>
      </c>
      <c r="H255" s="33"/>
      <c r="I255" s="33"/>
      <c r="J255" s="33">
        <v>15807.93</v>
      </c>
      <c r="K255" s="33"/>
    </row>
    <row r="256" spans="1:11" x14ac:dyDescent="0.25">
      <c r="A256" s="32">
        <v>288</v>
      </c>
      <c r="B256" s="32" t="s">
        <v>26</v>
      </c>
      <c r="C256" s="32" t="s">
        <v>21</v>
      </c>
      <c r="D256" s="32" t="s">
        <v>1468</v>
      </c>
      <c r="E256" s="32"/>
      <c r="F256" s="32"/>
      <c r="G256" s="32"/>
      <c r="H256" s="32"/>
      <c r="I256" s="32"/>
      <c r="J256" s="32">
        <v>0</v>
      </c>
      <c r="K256" s="32" t="s">
        <v>1469</v>
      </c>
    </row>
    <row r="257" spans="1:11" x14ac:dyDescent="0.25">
      <c r="A257" s="33">
        <v>289</v>
      </c>
      <c r="B257" s="33" t="s">
        <v>194</v>
      </c>
      <c r="C257" s="33" t="s">
        <v>32</v>
      </c>
      <c r="D257" s="33" t="s">
        <v>1465</v>
      </c>
      <c r="E257" s="33" t="s">
        <v>1470</v>
      </c>
      <c r="F257" s="33" t="s">
        <v>1491</v>
      </c>
      <c r="G257" s="33">
        <v>1</v>
      </c>
      <c r="H257" s="33"/>
      <c r="I257" s="33"/>
      <c r="J257" s="33">
        <v>54800</v>
      </c>
      <c r="K257" s="33"/>
    </row>
    <row r="258" spans="1:11" x14ac:dyDescent="0.25">
      <c r="A258" s="33">
        <v>290</v>
      </c>
      <c r="B258" s="33" t="s">
        <v>154</v>
      </c>
      <c r="C258" s="33" t="s">
        <v>32</v>
      </c>
      <c r="D258" s="33" t="s">
        <v>1465</v>
      </c>
      <c r="E258" s="33" t="s">
        <v>1470</v>
      </c>
      <c r="F258" s="33" t="s">
        <v>1485</v>
      </c>
      <c r="G258" s="33">
        <v>1</v>
      </c>
      <c r="H258" s="33"/>
      <c r="I258" s="33"/>
      <c r="J258" s="33">
        <v>580</v>
      </c>
      <c r="K258" s="33"/>
    </row>
    <row r="259" spans="1:11" x14ac:dyDescent="0.25">
      <c r="A259" s="33">
        <v>291</v>
      </c>
      <c r="B259" s="33" t="s">
        <v>159</v>
      </c>
      <c r="C259" s="33" t="s">
        <v>32</v>
      </c>
      <c r="D259" s="33" t="s">
        <v>1465</v>
      </c>
      <c r="E259" s="33" t="s">
        <v>1470</v>
      </c>
      <c r="F259" s="33" t="s">
        <v>1486</v>
      </c>
      <c r="G259" s="33">
        <v>1</v>
      </c>
      <c r="H259" s="33"/>
      <c r="I259" s="33"/>
      <c r="J259" s="33">
        <v>45270</v>
      </c>
      <c r="K259" s="33"/>
    </row>
    <row r="260" spans="1:11" x14ac:dyDescent="0.25">
      <c r="A260" s="33">
        <v>292</v>
      </c>
      <c r="B260" s="33" t="s">
        <v>205</v>
      </c>
      <c r="C260" s="33" t="s">
        <v>32</v>
      </c>
      <c r="D260" s="33" t="s">
        <v>1465</v>
      </c>
      <c r="E260" s="33" t="s">
        <v>1470</v>
      </c>
      <c r="F260" s="33" t="s">
        <v>1492</v>
      </c>
      <c r="G260" s="33">
        <v>1</v>
      </c>
      <c r="H260" s="33"/>
      <c r="I260" s="33"/>
      <c r="J260" s="33">
        <v>102000</v>
      </c>
      <c r="K260" s="33"/>
    </row>
    <row r="261" spans="1:11" x14ac:dyDescent="0.25">
      <c r="A261" s="33">
        <v>293</v>
      </c>
      <c r="B261" s="33" t="s">
        <v>210</v>
      </c>
      <c r="C261" s="33" t="s">
        <v>32</v>
      </c>
      <c r="D261" s="33" t="s">
        <v>1465</v>
      </c>
      <c r="E261" s="33" t="s">
        <v>1470</v>
      </c>
      <c r="F261" s="33" t="s">
        <v>1493</v>
      </c>
      <c r="G261" s="33">
        <v>1</v>
      </c>
      <c r="H261" s="33"/>
      <c r="I261" s="33"/>
      <c r="J261" s="33">
        <v>873</v>
      </c>
      <c r="K261" s="33"/>
    </row>
    <row r="262" spans="1:11" x14ac:dyDescent="0.25">
      <c r="A262" s="33">
        <v>294</v>
      </c>
      <c r="B262" s="33" t="s">
        <v>215</v>
      </c>
      <c r="C262" s="33" t="s">
        <v>32</v>
      </c>
      <c r="D262" s="33" t="s">
        <v>1465</v>
      </c>
      <c r="E262" s="33" t="s">
        <v>1470</v>
      </c>
      <c r="F262" s="33" t="s">
        <v>1494</v>
      </c>
      <c r="G262" s="33">
        <v>1</v>
      </c>
      <c r="H262" s="33"/>
      <c r="I262" s="33"/>
      <c r="J262" s="33">
        <v>3200</v>
      </c>
      <c r="K262" s="33"/>
    </row>
    <row r="263" spans="1:11" x14ac:dyDescent="0.25">
      <c r="A263" s="33">
        <v>295</v>
      </c>
      <c r="B263" s="33" t="s">
        <v>164</v>
      </c>
      <c r="C263" s="33" t="s">
        <v>32</v>
      </c>
      <c r="D263" s="33" t="s">
        <v>1465</v>
      </c>
      <c r="E263" s="33" t="s">
        <v>1470</v>
      </c>
      <c r="F263" s="33" t="s">
        <v>1487</v>
      </c>
      <c r="G263" s="33">
        <v>1</v>
      </c>
      <c r="H263" s="33"/>
      <c r="I263" s="33"/>
      <c r="J263" s="33">
        <v>52621.06</v>
      </c>
      <c r="K263" s="33"/>
    </row>
    <row r="264" spans="1:11" x14ac:dyDescent="0.25">
      <c r="A264" s="33">
        <v>296</v>
      </c>
      <c r="B264" s="33" t="s">
        <v>105</v>
      </c>
      <c r="C264" s="33" t="s">
        <v>60</v>
      </c>
      <c r="D264" s="33" t="s">
        <v>1465</v>
      </c>
      <c r="E264" s="33" t="s">
        <v>1474</v>
      </c>
      <c r="F264" s="33" t="s">
        <v>1482</v>
      </c>
      <c r="G264" s="33">
        <v>1</v>
      </c>
      <c r="H264" s="33"/>
      <c r="I264" s="33"/>
      <c r="J264" s="33">
        <v>0</v>
      </c>
      <c r="K264" s="33"/>
    </row>
    <row r="265" spans="1:11" x14ac:dyDescent="0.25">
      <c r="A265" s="33">
        <v>297</v>
      </c>
      <c r="B265" s="33" t="s">
        <v>719</v>
      </c>
      <c r="C265" s="33" t="s">
        <v>60</v>
      </c>
      <c r="D265" s="33" t="s">
        <v>1465</v>
      </c>
      <c r="E265" s="33" t="s">
        <v>1474</v>
      </c>
      <c r="F265" s="33" t="s">
        <v>1540</v>
      </c>
      <c r="G265" s="33">
        <v>1</v>
      </c>
      <c r="H265" s="33"/>
      <c r="I265" s="33"/>
      <c r="J265" s="33">
        <v>490000</v>
      </c>
      <c r="K265" s="33"/>
    </row>
    <row r="266" spans="1:11" x14ac:dyDescent="0.25">
      <c r="A266" s="33">
        <v>298</v>
      </c>
      <c r="B266" s="33" t="s">
        <v>231</v>
      </c>
      <c r="C266" s="33" t="s">
        <v>43</v>
      </c>
      <c r="D266" s="33" t="s">
        <v>1465</v>
      </c>
      <c r="E266" s="33" t="s">
        <v>1496</v>
      </c>
      <c r="F266" s="33" t="s">
        <v>1497</v>
      </c>
      <c r="G266" s="33">
        <v>1</v>
      </c>
      <c r="H266" s="33"/>
      <c r="I266" s="33"/>
      <c r="J266" s="33">
        <v>8200000</v>
      </c>
      <c r="K266" s="33"/>
    </row>
    <row r="267" spans="1:11" x14ac:dyDescent="0.25">
      <c r="A267" s="33">
        <v>299</v>
      </c>
      <c r="B267" s="33" t="s">
        <v>236</v>
      </c>
      <c r="C267" s="33" t="s">
        <v>43</v>
      </c>
      <c r="D267" s="33" t="s">
        <v>1465</v>
      </c>
      <c r="E267" s="33" t="s">
        <v>1496</v>
      </c>
      <c r="F267" s="33" t="s">
        <v>1498</v>
      </c>
      <c r="G267" s="33">
        <v>1</v>
      </c>
      <c r="H267" s="33"/>
      <c r="I267" s="33"/>
      <c r="J267" s="33">
        <v>650000</v>
      </c>
      <c r="K267" s="33"/>
    </row>
    <row r="268" spans="1:11" x14ac:dyDescent="0.25">
      <c r="A268" s="33">
        <v>300</v>
      </c>
      <c r="B268" s="33" t="s">
        <v>246</v>
      </c>
      <c r="C268" s="33" t="s">
        <v>43</v>
      </c>
      <c r="D268" s="33" t="s">
        <v>1465</v>
      </c>
      <c r="E268" s="33" t="s">
        <v>1496</v>
      </c>
      <c r="F268" s="33" t="s">
        <v>1500</v>
      </c>
      <c r="G268" s="33">
        <v>1</v>
      </c>
      <c r="H268" s="33"/>
      <c r="I268" s="33"/>
      <c r="J268" s="33">
        <v>10300000</v>
      </c>
      <c r="K268" s="33"/>
    </row>
    <row r="269" spans="1:11" x14ac:dyDescent="0.25">
      <c r="A269" s="33">
        <v>301</v>
      </c>
      <c r="B269" s="33" t="s">
        <v>730</v>
      </c>
      <c r="C269" s="33" t="s">
        <v>60</v>
      </c>
      <c r="D269" s="33" t="s">
        <v>1465</v>
      </c>
      <c r="E269" s="33" t="s">
        <v>1474</v>
      </c>
      <c r="F269" s="33" t="s">
        <v>1541</v>
      </c>
      <c r="G269" s="33">
        <v>1</v>
      </c>
      <c r="H269" s="33"/>
      <c r="I269" s="33"/>
      <c r="J269" s="33">
        <v>2000000</v>
      </c>
      <c r="K269" s="33"/>
    </row>
    <row r="270" spans="1:11" x14ac:dyDescent="0.25">
      <c r="A270" s="33">
        <v>302</v>
      </c>
      <c r="B270" s="33" t="s">
        <v>735</v>
      </c>
      <c r="C270" s="33" t="s">
        <v>60</v>
      </c>
      <c r="D270" s="33" t="s">
        <v>1465</v>
      </c>
      <c r="E270" s="33" t="s">
        <v>1474</v>
      </c>
      <c r="F270" s="33" t="s">
        <v>1542</v>
      </c>
      <c r="G270" s="33">
        <v>1</v>
      </c>
      <c r="H270" s="33"/>
      <c r="I270" s="33"/>
      <c r="J270" s="33">
        <v>2000000</v>
      </c>
      <c r="K270" s="33"/>
    </row>
    <row r="271" spans="1:11" x14ac:dyDescent="0.25">
      <c r="A271" s="33">
        <v>303</v>
      </c>
      <c r="B271" s="33" t="s">
        <v>564</v>
      </c>
      <c r="C271" s="33" t="s">
        <v>179</v>
      </c>
      <c r="D271" s="33" t="s">
        <v>1465</v>
      </c>
      <c r="E271" s="33" t="s">
        <v>1489</v>
      </c>
      <c r="F271" s="33" t="s">
        <v>1526</v>
      </c>
      <c r="G271" s="33">
        <v>1</v>
      </c>
      <c r="H271" s="33"/>
      <c r="I271" s="33"/>
      <c r="J271" s="33">
        <v>25000</v>
      </c>
      <c r="K271" s="33"/>
    </row>
    <row r="272" spans="1:11" x14ac:dyDescent="0.25">
      <c r="A272" s="32">
        <v>304</v>
      </c>
      <c r="B272" s="32" t="s">
        <v>264</v>
      </c>
      <c r="C272" s="32" t="s">
        <v>43</v>
      </c>
      <c r="D272" s="32" t="s">
        <v>1463</v>
      </c>
      <c r="E272" s="32"/>
      <c r="F272" s="32"/>
      <c r="G272" s="32"/>
      <c r="H272" s="32"/>
      <c r="I272" s="32"/>
      <c r="J272" s="32">
        <v>0</v>
      </c>
      <c r="K272" s="32" t="s">
        <v>1464</v>
      </c>
    </row>
    <row r="273" spans="1:11" x14ac:dyDescent="0.25">
      <c r="A273" s="33">
        <v>305</v>
      </c>
      <c r="B273" s="33" t="s">
        <v>20</v>
      </c>
      <c r="C273" s="33" t="s">
        <v>21</v>
      </c>
      <c r="D273" s="33" t="s">
        <v>1465</v>
      </c>
      <c r="E273" s="33" t="s">
        <v>1466</v>
      </c>
      <c r="F273" s="33" t="s">
        <v>1467</v>
      </c>
      <c r="G273" s="33">
        <v>1</v>
      </c>
      <c r="H273" s="33"/>
      <c r="I273" s="33"/>
      <c r="J273" s="33">
        <v>15807.93</v>
      </c>
      <c r="K273" s="33"/>
    </row>
    <row r="274" spans="1:11" x14ac:dyDescent="0.25">
      <c r="A274" s="32">
        <v>306</v>
      </c>
      <c r="B274" s="32" t="s">
        <v>26</v>
      </c>
      <c r="C274" s="32" t="s">
        <v>21</v>
      </c>
      <c r="D274" s="32" t="s">
        <v>1468</v>
      </c>
      <c r="E274" s="32"/>
      <c r="F274" s="32"/>
      <c r="G274" s="32"/>
      <c r="H274" s="32"/>
      <c r="I274" s="32"/>
      <c r="J274" s="32">
        <v>0</v>
      </c>
      <c r="K274" s="32" t="s">
        <v>1469</v>
      </c>
    </row>
    <row r="275" spans="1:11" x14ac:dyDescent="0.25">
      <c r="A275" s="33">
        <v>307</v>
      </c>
      <c r="B275" s="33" t="s">
        <v>194</v>
      </c>
      <c r="C275" s="33" t="s">
        <v>32</v>
      </c>
      <c r="D275" s="33" t="s">
        <v>1465</v>
      </c>
      <c r="E275" s="33" t="s">
        <v>1470</v>
      </c>
      <c r="F275" s="33" t="s">
        <v>1491</v>
      </c>
      <c r="G275" s="33">
        <v>1</v>
      </c>
      <c r="H275" s="33"/>
      <c r="I275" s="33"/>
      <c r="J275" s="33">
        <v>54800</v>
      </c>
      <c r="K275" s="33"/>
    </row>
    <row r="276" spans="1:11" x14ac:dyDescent="0.25">
      <c r="A276" s="33">
        <v>308</v>
      </c>
      <c r="B276" s="33" t="s">
        <v>159</v>
      </c>
      <c r="C276" s="33" t="s">
        <v>32</v>
      </c>
      <c r="D276" s="33" t="s">
        <v>1465</v>
      </c>
      <c r="E276" s="33" t="s">
        <v>1470</v>
      </c>
      <c r="F276" s="33" t="s">
        <v>1486</v>
      </c>
      <c r="G276" s="33">
        <v>1</v>
      </c>
      <c r="H276" s="33"/>
      <c r="I276" s="33"/>
      <c r="J276" s="33">
        <v>45270</v>
      </c>
      <c r="K276" s="33"/>
    </row>
    <row r="277" spans="1:11" x14ac:dyDescent="0.25">
      <c r="A277" s="33">
        <v>309</v>
      </c>
      <c r="B277" s="33" t="s">
        <v>279</v>
      </c>
      <c r="C277" s="33" t="s">
        <v>32</v>
      </c>
      <c r="D277" s="33" t="s">
        <v>1465</v>
      </c>
      <c r="E277" s="33" t="s">
        <v>1470</v>
      </c>
      <c r="F277" s="33" t="s">
        <v>1503</v>
      </c>
      <c r="G277" s="33">
        <v>1</v>
      </c>
      <c r="H277" s="33"/>
      <c r="I277" s="33"/>
      <c r="J277" s="33">
        <v>637.55999999999995</v>
      </c>
      <c r="K277" s="33"/>
    </row>
    <row r="278" spans="1:11" x14ac:dyDescent="0.25">
      <c r="A278" s="33">
        <v>310</v>
      </c>
      <c r="B278" s="33" t="s">
        <v>284</v>
      </c>
      <c r="C278" s="33" t="s">
        <v>32</v>
      </c>
      <c r="D278" s="33" t="s">
        <v>1465</v>
      </c>
      <c r="E278" s="33" t="s">
        <v>1470</v>
      </c>
      <c r="F278" s="33" t="s">
        <v>1504</v>
      </c>
      <c r="G278" s="33">
        <v>1</v>
      </c>
      <c r="H278" s="33"/>
      <c r="I278" s="33"/>
      <c r="J278" s="33">
        <v>650</v>
      </c>
      <c r="K278" s="33"/>
    </row>
    <row r="279" spans="1:11" x14ac:dyDescent="0.25">
      <c r="A279" s="33">
        <v>311</v>
      </c>
      <c r="B279" s="33" t="s">
        <v>289</v>
      </c>
      <c r="C279" s="33" t="s">
        <v>32</v>
      </c>
      <c r="D279" s="33" t="s">
        <v>1465</v>
      </c>
      <c r="E279" s="33" t="s">
        <v>1470</v>
      </c>
      <c r="F279" s="33" t="s">
        <v>1505</v>
      </c>
      <c r="G279" s="33">
        <v>1</v>
      </c>
      <c r="H279" s="33"/>
      <c r="I279" s="33"/>
      <c r="J279" s="33">
        <v>25650</v>
      </c>
      <c r="K279" s="33"/>
    </row>
    <row r="280" spans="1:11" x14ac:dyDescent="0.25">
      <c r="A280" s="33">
        <v>312</v>
      </c>
      <c r="B280" s="33" t="s">
        <v>293</v>
      </c>
      <c r="C280" s="33" t="s">
        <v>32</v>
      </c>
      <c r="D280" s="33" t="s">
        <v>1465</v>
      </c>
      <c r="E280" s="33" t="s">
        <v>1470</v>
      </c>
      <c r="F280" s="33" t="s">
        <v>1506</v>
      </c>
      <c r="G280" s="33">
        <v>1</v>
      </c>
      <c r="H280" s="33"/>
      <c r="I280" s="33"/>
      <c r="J280" s="33">
        <v>874.37</v>
      </c>
      <c r="K280" s="33"/>
    </row>
    <row r="281" spans="1:11" x14ac:dyDescent="0.25">
      <c r="A281" s="33">
        <v>313</v>
      </c>
      <c r="B281" s="33" t="s">
        <v>298</v>
      </c>
      <c r="C281" s="33" t="s">
        <v>32</v>
      </c>
      <c r="D281" s="33" t="s">
        <v>1465</v>
      </c>
      <c r="E281" s="33" t="s">
        <v>1470</v>
      </c>
      <c r="F281" s="33" t="s">
        <v>1507</v>
      </c>
      <c r="G281" s="33">
        <v>1</v>
      </c>
      <c r="H281" s="33"/>
      <c r="I281" s="33"/>
      <c r="J281" s="33">
        <v>645</v>
      </c>
      <c r="K281" s="33"/>
    </row>
    <row r="282" spans="1:11" x14ac:dyDescent="0.25">
      <c r="A282" s="33">
        <v>314</v>
      </c>
      <c r="B282" s="33" t="s">
        <v>303</v>
      </c>
      <c r="C282" s="33" t="s">
        <v>60</v>
      </c>
      <c r="D282" s="33" t="s">
        <v>1465</v>
      </c>
      <c r="E282" s="33" t="s">
        <v>1474</v>
      </c>
      <c r="F282" s="33" t="s">
        <v>1508</v>
      </c>
      <c r="G282" s="33">
        <v>1</v>
      </c>
      <c r="H282" s="33"/>
      <c r="I282" s="33"/>
      <c r="J282" s="33">
        <v>4500</v>
      </c>
      <c r="K282" s="33"/>
    </row>
    <row r="283" spans="1:11" x14ac:dyDescent="0.25">
      <c r="A283" s="33">
        <v>315</v>
      </c>
      <c r="B283" s="33" t="s">
        <v>308</v>
      </c>
      <c r="C283" s="33" t="s">
        <v>43</v>
      </c>
      <c r="D283" s="33" t="s">
        <v>1465</v>
      </c>
      <c r="E283" s="33" t="s">
        <v>1496</v>
      </c>
      <c r="F283" s="33" t="s">
        <v>1509</v>
      </c>
      <c r="G283" s="33">
        <v>1</v>
      </c>
      <c r="H283" s="33"/>
      <c r="I283" s="33"/>
      <c r="J283" s="33">
        <v>5941000</v>
      </c>
      <c r="K283" s="33"/>
    </row>
    <row r="284" spans="1:11" x14ac:dyDescent="0.25">
      <c r="A284" s="33">
        <v>316</v>
      </c>
      <c r="B284" s="33" t="s">
        <v>313</v>
      </c>
      <c r="C284" s="33" t="s">
        <v>314</v>
      </c>
      <c r="D284" s="33" t="s">
        <v>1465</v>
      </c>
      <c r="E284" s="33" t="s">
        <v>1510</v>
      </c>
      <c r="F284" s="33" t="s">
        <v>1511</v>
      </c>
      <c r="G284" s="33">
        <v>1</v>
      </c>
      <c r="H284" s="33"/>
      <c r="I284" s="33"/>
      <c r="J284" s="33">
        <v>6500</v>
      </c>
      <c r="K284" s="33"/>
    </row>
    <row r="285" spans="1:11" x14ac:dyDescent="0.25">
      <c r="A285" s="33">
        <v>317</v>
      </c>
      <c r="B285" s="33" t="s">
        <v>319</v>
      </c>
      <c r="C285" s="33" t="s">
        <v>320</v>
      </c>
      <c r="D285" s="33" t="s">
        <v>1465</v>
      </c>
      <c r="E285" s="33" t="s">
        <v>1512</v>
      </c>
      <c r="F285" s="33" t="s">
        <v>1513</v>
      </c>
      <c r="G285" s="33">
        <v>1</v>
      </c>
      <c r="H285" s="33"/>
      <c r="I285" s="33"/>
      <c r="J285" s="33">
        <v>3200</v>
      </c>
      <c r="K285" s="33"/>
    </row>
    <row r="286" spans="1:11" x14ac:dyDescent="0.25">
      <c r="A286" s="33">
        <v>318</v>
      </c>
      <c r="B286" s="33" t="s">
        <v>505</v>
      </c>
      <c r="C286" s="33" t="s">
        <v>43</v>
      </c>
      <c r="D286" s="33" t="s">
        <v>1465</v>
      </c>
      <c r="E286" s="33" t="s">
        <v>1496</v>
      </c>
      <c r="F286" s="33" t="s">
        <v>1523</v>
      </c>
      <c r="G286" s="33">
        <v>1</v>
      </c>
      <c r="H286" s="33"/>
      <c r="I286" s="33"/>
      <c r="J286" s="33">
        <v>4600000</v>
      </c>
      <c r="K286" s="33"/>
    </row>
    <row r="287" spans="1:11" x14ac:dyDescent="0.25">
      <c r="A287" s="33">
        <v>319</v>
      </c>
      <c r="B287" s="33" t="s">
        <v>845</v>
      </c>
      <c r="C287" s="33" t="s">
        <v>43</v>
      </c>
      <c r="D287" s="33" t="s">
        <v>1465</v>
      </c>
      <c r="E287" s="33" t="s">
        <v>1496</v>
      </c>
      <c r="F287" s="33" t="s">
        <v>1521</v>
      </c>
      <c r="G287" s="33">
        <v>1</v>
      </c>
      <c r="H287" s="33"/>
      <c r="I287" s="33"/>
      <c r="J287" s="33">
        <v>4600000</v>
      </c>
      <c r="K287" s="33"/>
    </row>
    <row r="288" spans="1:11" x14ac:dyDescent="0.25">
      <c r="A288" s="33">
        <v>320</v>
      </c>
      <c r="B288" s="33" t="s">
        <v>596</v>
      </c>
      <c r="C288" s="33" t="s">
        <v>43</v>
      </c>
      <c r="D288" s="33" t="s">
        <v>1465</v>
      </c>
      <c r="E288" s="33" t="s">
        <v>1496</v>
      </c>
      <c r="F288" s="33" t="s">
        <v>1527</v>
      </c>
      <c r="G288" s="33">
        <v>1</v>
      </c>
      <c r="H288" s="33"/>
      <c r="I288" s="33"/>
      <c r="J288" s="33">
        <v>4600000</v>
      </c>
      <c r="K288" s="33"/>
    </row>
    <row r="289" spans="1:11" x14ac:dyDescent="0.25">
      <c r="A289" s="33">
        <v>321</v>
      </c>
      <c r="B289" s="33" t="s">
        <v>851</v>
      </c>
      <c r="C289" s="33" t="s">
        <v>43</v>
      </c>
      <c r="D289" s="33" t="s">
        <v>1465</v>
      </c>
      <c r="E289" s="33" t="s">
        <v>1496</v>
      </c>
      <c r="F289" s="33" t="s">
        <v>1544</v>
      </c>
      <c r="G289" s="33">
        <v>1</v>
      </c>
      <c r="H289" s="33"/>
      <c r="I289" s="33"/>
      <c r="J289" s="33">
        <v>4600000</v>
      </c>
      <c r="K289" s="33"/>
    </row>
    <row r="290" spans="1:11" x14ac:dyDescent="0.25">
      <c r="A290" s="33">
        <v>322</v>
      </c>
      <c r="B290" s="33" t="s">
        <v>854</v>
      </c>
      <c r="C290" s="33" t="s">
        <v>43</v>
      </c>
      <c r="D290" s="33" t="s">
        <v>1465</v>
      </c>
      <c r="E290" s="33" t="s">
        <v>1496</v>
      </c>
      <c r="F290" s="33" t="s">
        <v>1545</v>
      </c>
      <c r="G290" s="33">
        <v>1</v>
      </c>
      <c r="H290" s="33"/>
      <c r="I290" s="33"/>
      <c r="J290" s="33">
        <v>6040000</v>
      </c>
      <c r="K290" s="33"/>
    </row>
    <row r="291" spans="1:11" x14ac:dyDescent="0.25">
      <c r="A291" s="32">
        <v>325</v>
      </c>
      <c r="B291" s="32" t="s">
        <v>859</v>
      </c>
      <c r="C291" s="32" t="s">
        <v>118</v>
      </c>
      <c r="D291" s="32" t="s">
        <v>1463</v>
      </c>
      <c r="E291" s="32"/>
      <c r="F291" s="32"/>
      <c r="G291" s="32"/>
      <c r="H291" s="32"/>
      <c r="I291" s="32"/>
      <c r="J291" s="32">
        <v>0</v>
      </c>
      <c r="K291" s="32" t="s">
        <v>1464</v>
      </c>
    </row>
    <row r="292" spans="1:11" x14ac:dyDescent="0.25">
      <c r="A292" s="33">
        <v>326</v>
      </c>
      <c r="B292" s="33" t="s">
        <v>20</v>
      </c>
      <c r="C292" s="33" t="s">
        <v>21</v>
      </c>
      <c r="D292" s="33" t="s">
        <v>1465</v>
      </c>
      <c r="E292" s="33" t="s">
        <v>1466</v>
      </c>
      <c r="F292" s="33" t="s">
        <v>1467</v>
      </c>
      <c r="G292" s="33">
        <v>1</v>
      </c>
      <c r="H292" s="33"/>
      <c r="I292" s="33"/>
      <c r="J292" s="33">
        <v>15807.93</v>
      </c>
      <c r="K292" s="33"/>
    </row>
    <row r="293" spans="1:11" x14ac:dyDescent="0.25">
      <c r="A293" s="32">
        <v>327</v>
      </c>
      <c r="B293" s="32" t="s">
        <v>26</v>
      </c>
      <c r="C293" s="32" t="s">
        <v>21</v>
      </c>
      <c r="D293" s="32" t="s">
        <v>1468</v>
      </c>
      <c r="E293" s="32"/>
      <c r="F293" s="32"/>
      <c r="G293" s="32"/>
      <c r="H293" s="32"/>
      <c r="I293" s="32"/>
      <c r="J293" s="32">
        <v>0</v>
      </c>
      <c r="K293" s="32" t="s">
        <v>1469</v>
      </c>
    </row>
    <row r="294" spans="1:11" x14ac:dyDescent="0.25">
      <c r="A294" s="33">
        <v>328</v>
      </c>
      <c r="B294" s="33" t="s">
        <v>154</v>
      </c>
      <c r="C294" s="33" t="s">
        <v>32</v>
      </c>
      <c r="D294" s="33" t="s">
        <v>1465</v>
      </c>
      <c r="E294" s="33" t="s">
        <v>1470</v>
      </c>
      <c r="F294" s="33" t="s">
        <v>1485</v>
      </c>
      <c r="G294" s="33">
        <v>1</v>
      </c>
      <c r="H294" s="33"/>
      <c r="I294" s="33"/>
      <c r="J294" s="33">
        <v>580</v>
      </c>
      <c r="K294" s="33"/>
    </row>
    <row r="295" spans="1:11" x14ac:dyDescent="0.25">
      <c r="A295" s="33">
        <v>329</v>
      </c>
      <c r="B295" s="33" t="s">
        <v>159</v>
      </c>
      <c r="C295" s="33" t="s">
        <v>32</v>
      </c>
      <c r="D295" s="33" t="s">
        <v>1465</v>
      </c>
      <c r="E295" s="33" t="s">
        <v>1470</v>
      </c>
      <c r="F295" s="33" t="s">
        <v>1486</v>
      </c>
      <c r="G295" s="33">
        <v>1</v>
      </c>
      <c r="H295" s="33"/>
      <c r="I295" s="33"/>
      <c r="J295" s="33">
        <v>45270</v>
      </c>
      <c r="K295" s="33"/>
    </row>
    <row r="296" spans="1:11" x14ac:dyDescent="0.25">
      <c r="A296" s="33">
        <v>330</v>
      </c>
      <c r="B296" s="33" t="s">
        <v>205</v>
      </c>
      <c r="C296" s="33" t="s">
        <v>32</v>
      </c>
      <c r="D296" s="33" t="s">
        <v>1465</v>
      </c>
      <c r="E296" s="33" t="s">
        <v>1470</v>
      </c>
      <c r="F296" s="33" t="s">
        <v>1492</v>
      </c>
      <c r="G296" s="33">
        <v>1</v>
      </c>
      <c r="H296" s="33"/>
      <c r="I296" s="33"/>
      <c r="J296" s="33">
        <v>102000</v>
      </c>
      <c r="K296" s="33"/>
    </row>
    <row r="297" spans="1:11" x14ac:dyDescent="0.25">
      <c r="A297" s="33">
        <v>331</v>
      </c>
      <c r="B297" s="33" t="s">
        <v>164</v>
      </c>
      <c r="C297" s="33" t="s">
        <v>32</v>
      </c>
      <c r="D297" s="33" t="s">
        <v>1465</v>
      </c>
      <c r="E297" s="33" t="s">
        <v>1470</v>
      </c>
      <c r="F297" s="33" t="s">
        <v>1487</v>
      </c>
      <c r="G297" s="33">
        <v>1</v>
      </c>
      <c r="H297" s="33"/>
      <c r="I297" s="33"/>
      <c r="J297" s="33">
        <v>52621.06</v>
      </c>
      <c r="K297" s="33"/>
    </row>
    <row r="298" spans="1:11" x14ac:dyDescent="0.25">
      <c r="A298" s="33">
        <v>332</v>
      </c>
      <c r="B298" s="33" t="s">
        <v>719</v>
      </c>
      <c r="C298" s="33" t="s">
        <v>60</v>
      </c>
      <c r="D298" s="33" t="s">
        <v>1465</v>
      </c>
      <c r="E298" s="33" t="s">
        <v>1474</v>
      </c>
      <c r="F298" s="33" t="s">
        <v>1540</v>
      </c>
      <c r="G298" s="33">
        <v>1</v>
      </c>
      <c r="H298" s="33"/>
      <c r="I298" s="33"/>
      <c r="J298" s="33">
        <v>490000</v>
      </c>
      <c r="K298" s="33"/>
    </row>
    <row r="299" spans="1:11" x14ac:dyDescent="0.25">
      <c r="A299" s="33">
        <v>333</v>
      </c>
      <c r="B299" s="33" t="s">
        <v>231</v>
      </c>
      <c r="C299" s="33" t="s">
        <v>43</v>
      </c>
      <c r="D299" s="33" t="s">
        <v>1465</v>
      </c>
      <c r="E299" s="33" t="s">
        <v>1496</v>
      </c>
      <c r="F299" s="33" t="s">
        <v>1497</v>
      </c>
      <c r="G299" s="33">
        <v>1</v>
      </c>
      <c r="H299" s="33"/>
      <c r="I299" s="33"/>
      <c r="J299" s="33">
        <v>8200000</v>
      </c>
      <c r="K299" s="33"/>
    </row>
    <row r="300" spans="1:11" x14ac:dyDescent="0.25">
      <c r="A300" s="33">
        <v>334</v>
      </c>
      <c r="B300" s="33" t="s">
        <v>886</v>
      </c>
      <c r="C300" s="33" t="s">
        <v>43</v>
      </c>
      <c r="D300" s="33" t="s">
        <v>1465</v>
      </c>
      <c r="E300" s="33" t="s">
        <v>1496</v>
      </c>
      <c r="F300" s="33" t="s">
        <v>1546</v>
      </c>
      <c r="G300" s="33">
        <v>1</v>
      </c>
      <c r="H300" s="33"/>
      <c r="I300" s="33"/>
      <c r="J300" s="33">
        <v>350000</v>
      </c>
      <c r="K300" s="33"/>
    </row>
    <row r="301" spans="1:11" x14ac:dyDescent="0.25">
      <c r="A301" s="33">
        <v>335</v>
      </c>
      <c r="B301" s="33" t="s">
        <v>891</v>
      </c>
      <c r="C301" s="33" t="s">
        <v>43</v>
      </c>
      <c r="D301" s="33" t="s">
        <v>1465</v>
      </c>
      <c r="E301" s="33" t="s">
        <v>1496</v>
      </c>
      <c r="F301" s="33" t="s">
        <v>1547</v>
      </c>
      <c r="G301" s="33">
        <v>1</v>
      </c>
      <c r="H301" s="33"/>
      <c r="I301" s="33"/>
      <c r="J301" s="33">
        <v>5941000</v>
      </c>
      <c r="K301" s="33"/>
    </row>
    <row r="302" spans="1:11" x14ac:dyDescent="0.25">
      <c r="A302" s="33">
        <v>336</v>
      </c>
      <c r="B302" s="33" t="s">
        <v>896</v>
      </c>
      <c r="C302" s="33" t="s">
        <v>60</v>
      </c>
      <c r="D302" s="33" t="s">
        <v>1465</v>
      </c>
      <c r="E302" s="33" t="s">
        <v>1474</v>
      </c>
      <c r="F302" s="33" t="s">
        <v>1548</v>
      </c>
      <c r="G302" s="33">
        <v>1</v>
      </c>
      <c r="H302" s="33"/>
      <c r="I302" s="33"/>
      <c r="J302" s="33">
        <v>2000000</v>
      </c>
      <c r="K302" s="33"/>
    </row>
    <row r="303" spans="1:11" x14ac:dyDescent="0.25">
      <c r="A303" s="32">
        <v>337</v>
      </c>
      <c r="B303" s="32" t="s">
        <v>264</v>
      </c>
      <c r="C303" s="32" t="s">
        <v>43</v>
      </c>
      <c r="D303" s="32" t="s">
        <v>1463</v>
      </c>
      <c r="E303" s="32"/>
      <c r="F303" s="32"/>
      <c r="G303" s="32"/>
      <c r="H303" s="32"/>
      <c r="I303" s="32"/>
      <c r="J303" s="32">
        <v>0</v>
      </c>
      <c r="K303" s="32" t="s">
        <v>1464</v>
      </c>
    </row>
    <row r="304" spans="1:11" x14ac:dyDescent="0.25">
      <c r="A304" s="33">
        <v>338</v>
      </c>
      <c r="B304" s="33" t="s">
        <v>20</v>
      </c>
      <c r="C304" s="33" t="s">
        <v>21</v>
      </c>
      <c r="D304" s="33" t="s">
        <v>1465</v>
      </c>
      <c r="E304" s="33" t="s">
        <v>1466</v>
      </c>
      <c r="F304" s="33" t="s">
        <v>1467</v>
      </c>
      <c r="G304" s="33">
        <v>1</v>
      </c>
      <c r="H304" s="33"/>
      <c r="I304" s="33"/>
      <c r="J304" s="33">
        <v>15807.93</v>
      </c>
      <c r="K304" s="33"/>
    </row>
    <row r="305" spans="1:11" x14ac:dyDescent="0.25">
      <c r="A305" s="32">
        <v>339</v>
      </c>
      <c r="B305" s="32" t="s">
        <v>26</v>
      </c>
      <c r="C305" s="32" t="s">
        <v>21</v>
      </c>
      <c r="D305" s="32" t="s">
        <v>1468</v>
      </c>
      <c r="E305" s="32"/>
      <c r="F305" s="32"/>
      <c r="G305" s="32"/>
      <c r="H305" s="32"/>
      <c r="I305" s="32"/>
      <c r="J305" s="32">
        <v>0</v>
      </c>
      <c r="K305" s="32" t="s">
        <v>1469</v>
      </c>
    </row>
    <row r="306" spans="1:11" x14ac:dyDescent="0.25">
      <c r="A306" s="33">
        <v>340</v>
      </c>
      <c r="B306" s="33" t="s">
        <v>194</v>
      </c>
      <c r="C306" s="33" t="s">
        <v>32</v>
      </c>
      <c r="D306" s="33" t="s">
        <v>1465</v>
      </c>
      <c r="E306" s="33" t="s">
        <v>1470</v>
      </c>
      <c r="F306" s="33" t="s">
        <v>1491</v>
      </c>
      <c r="G306" s="33">
        <v>1</v>
      </c>
      <c r="H306" s="33"/>
      <c r="I306" s="33"/>
      <c r="J306" s="33">
        <v>54800</v>
      </c>
      <c r="K306" s="33"/>
    </row>
    <row r="307" spans="1:11" x14ac:dyDescent="0.25">
      <c r="A307" s="33">
        <v>341</v>
      </c>
      <c r="B307" s="33" t="s">
        <v>159</v>
      </c>
      <c r="C307" s="33" t="s">
        <v>32</v>
      </c>
      <c r="D307" s="33" t="s">
        <v>1465</v>
      </c>
      <c r="E307" s="33" t="s">
        <v>1470</v>
      </c>
      <c r="F307" s="33" t="s">
        <v>1486</v>
      </c>
      <c r="G307" s="33">
        <v>1</v>
      </c>
      <c r="H307" s="33"/>
      <c r="I307" s="33"/>
      <c r="J307" s="33">
        <v>45270</v>
      </c>
      <c r="K307" s="33"/>
    </row>
    <row r="308" spans="1:11" x14ac:dyDescent="0.25">
      <c r="A308" s="33">
        <v>342</v>
      </c>
      <c r="B308" s="33" t="s">
        <v>279</v>
      </c>
      <c r="C308" s="33" t="s">
        <v>32</v>
      </c>
      <c r="D308" s="33" t="s">
        <v>1465</v>
      </c>
      <c r="E308" s="33" t="s">
        <v>1470</v>
      </c>
      <c r="F308" s="33" t="s">
        <v>1503</v>
      </c>
      <c r="G308" s="33">
        <v>1</v>
      </c>
      <c r="H308" s="33"/>
      <c r="I308" s="33"/>
      <c r="J308" s="33">
        <v>637.55999999999995</v>
      </c>
      <c r="K308" s="33"/>
    </row>
    <row r="309" spans="1:11" x14ac:dyDescent="0.25">
      <c r="A309" s="33">
        <v>343</v>
      </c>
      <c r="B309" s="33" t="s">
        <v>284</v>
      </c>
      <c r="C309" s="33" t="s">
        <v>32</v>
      </c>
      <c r="D309" s="33" t="s">
        <v>1465</v>
      </c>
      <c r="E309" s="33" t="s">
        <v>1470</v>
      </c>
      <c r="F309" s="33" t="s">
        <v>1504</v>
      </c>
      <c r="G309" s="33">
        <v>1</v>
      </c>
      <c r="H309" s="33"/>
      <c r="I309" s="33"/>
      <c r="J309" s="33">
        <v>650</v>
      </c>
      <c r="K309" s="33"/>
    </row>
    <row r="310" spans="1:11" x14ac:dyDescent="0.25">
      <c r="A310" s="33">
        <v>344</v>
      </c>
      <c r="B310" s="33" t="s">
        <v>289</v>
      </c>
      <c r="C310" s="33" t="s">
        <v>32</v>
      </c>
      <c r="D310" s="33" t="s">
        <v>1465</v>
      </c>
      <c r="E310" s="33" t="s">
        <v>1470</v>
      </c>
      <c r="F310" s="33" t="s">
        <v>1505</v>
      </c>
      <c r="G310" s="33">
        <v>1</v>
      </c>
      <c r="H310" s="33"/>
      <c r="I310" s="33"/>
      <c r="J310" s="33">
        <v>25650</v>
      </c>
      <c r="K310" s="33"/>
    </row>
    <row r="311" spans="1:11" x14ac:dyDescent="0.25">
      <c r="A311" s="33">
        <v>345</v>
      </c>
      <c r="B311" s="33" t="s">
        <v>293</v>
      </c>
      <c r="C311" s="33" t="s">
        <v>32</v>
      </c>
      <c r="D311" s="33" t="s">
        <v>1465</v>
      </c>
      <c r="E311" s="33" t="s">
        <v>1470</v>
      </c>
      <c r="F311" s="33" t="s">
        <v>1506</v>
      </c>
      <c r="G311" s="33">
        <v>1</v>
      </c>
      <c r="H311" s="33"/>
      <c r="I311" s="33"/>
      <c r="J311" s="33">
        <v>874.37</v>
      </c>
      <c r="K311" s="33"/>
    </row>
    <row r="312" spans="1:11" x14ac:dyDescent="0.25">
      <c r="A312" s="33">
        <v>346</v>
      </c>
      <c r="B312" s="33" t="s">
        <v>298</v>
      </c>
      <c r="C312" s="33" t="s">
        <v>32</v>
      </c>
      <c r="D312" s="33" t="s">
        <v>1465</v>
      </c>
      <c r="E312" s="33" t="s">
        <v>1470</v>
      </c>
      <c r="F312" s="33" t="s">
        <v>1507</v>
      </c>
      <c r="G312" s="33">
        <v>1</v>
      </c>
      <c r="H312" s="33"/>
      <c r="I312" s="33"/>
      <c r="J312" s="33">
        <v>645</v>
      </c>
      <c r="K312" s="33"/>
    </row>
    <row r="313" spans="1:11" x14ac:dyDescent="0.25">
      <c r="A313" s="33">
        <v>347</v>
      </c>
      <c r="B313" s="33" t="s">
        <v>303</v>
      </c>
      <c r="C313" s="33" t="s">
        <v>60</v>
      </c>
      <c r="D313" s="33" t="s">
        <v>1465</v>
      </c>
      <c r="E313" s="33" t="s">
        <v>1474</v>
      </c>
      <c r="F313" s="33" t="s">
        <v>1508</v>
      </c>
      <c r="G313" s="33">
        <v>1</v>
      </c>
      <c r="H313" s="33"/>
      <c r="I313" s="33"/>
      <c r="J313" s="33">
        <v>4500</v>
      </c>
      <c r="K313" s="33"/>
    </row>
    <row r="314" spans="1:11" x14ac:dyDescent="0.25">
      <c r="A314" s="33">
        <v>348</v>
      </c>
      <c r="B314" s="33" t="s">
        <v>308</v>
      </c>
      <c r="C314" s="33" t="s">
        <v>43</v>
      </c>
      <c r="D314" s="33" t="s">
        <v>1465</v>
      </c>
      <c r="E314" s="33" t="s">
        <v>1496</v>
      </c>
      <c r="F314" s="33" t="s">
        <v>1509</v>
      </c>
      <c r="G314" s="33">
        <v>1</v>
      </c>
      <c r="H314" s="33"/>
      <c r="I314" s="33"/>
      <c r="J314" s="33">
        <v>5941000</v>
      </c>
      <c r="K314" s="33"/>
    </row>
    <row r="315" spans="1:11" x14ac:dyDescent="0.25">
      <c r="A315" s="33">
        <v>349</v>
      </c>
      <c r="B315" s="33" t="s">
        <v>313</v>
      </c>
      <c r="C315" s="33" t="s">
        <v>314</v>
      </c>
      <c r="D315" s="33" t="s">
        <v>1465</v>
      </c>
      <c r="E315" s="33" t="s">
        <v>1510</v>
      </c>
      <c r="F315" s="33" t="s">
        <v>1511</v>
      </c>
      <c r="G315" s="33">
        <v>1</v>
      </c>
      <c r="H315" s="33"/>
      <c r="I315" s="33"/>
      <c r="J315" s="33">
        <v>6500</v>
      </c>
      <c r="K315" s="33"/>
    </row>
    <row r="316" spans="1:11" x14ac:dyDescent="0.25">
      <c r="A316" s="33">
        <v>350</v>
      </c>
      <c r="B316" s="33" t="s">
        <v>319</v>
      </c>
      <c r="C316" s="33" t="s">
        <v>320</v>
      </c>
      <c r="D316" s="33" t="s">
        <v>1465</v>
      </c>
      <c r="E316" s="33" t="s">
        <v>1512</v>
      </c>
      <c r="F316" s="33" t="s">
        <v>1513</v>
      </c>
      <c r="G316" s="33">
        <v>1</v>
      </c>
      <c r="H316" s="33"/>
      <c r="I316" s="33"/>
      <c r="J316" s="33">
        <v>3200</v>
      </c>
      <c r="K316" s="33"/>
    </row>
    <row r="317" spans="1:11" x14ac:dyDescent="0.25">
      <c r="A317" s="33">
        <v>351</v>
      </c>
      <c r="B317" s="33" t="s">
        <v>497</v>
      </c>
      <c r="C317" s="33" t="s">
        <v>43</v>
      </c>
      <c r="D317" s="33" t="s">
        <v>1465</v>
      </c>
      <c r="E317" s="33" t="s">
        <v>1496</v>
      </c>
      <c r="F317" s="33" t="s">
        <v>1519</v>
      </c>
      <c r="G317" s="33">
        <v>1</v>
      </c>
      <c r="H317" s="33"/>
      <c r="I317" s="33"/>
      <c r="J317" s="33">
        <v>4600000</v>
      </c>
      <c r="K317" s="33"/>
    </row>
    <row r="318" spans="1:11" x14ac:dyDescent="0.25">
      <c r="A318" s="34">
        <v>352</v>
      </c>
      <c r="B318" s="34" t="s">
        <v>929</v>
      </c>
      <c r="C318" s="34" t="s">
        <v>43</v>
      </c>
      <c r="D318" s="34" t="s">
        <v>1549</v>
      </c>
      <c r="E318" s="34" t="s">
        <v>1496</v>
      </c>
      <c r="F318" s="34" t="s">
        <v>1523</v>
      </c>
      <c r="G318" s="34">
        <v>0.99390000000000001</v>
      </c>
      <c r="H318" s="34" t="s">
        <v>1521</v>
      </c>
      <c r="I318" s="34">
        <v>0.98180000000000001</v>
      </c>
      <c r="J318" s="34" t="s">
        <v>502</v>
      </c>
      <c r="K318" s="34" t="s">
        <v>1550</v>
      </c>
    </row>
    <row r="319" spans="1:11" x14ac:dyDescent="0.25">
      <c r="A319" s="34">
        <v>353</v>
      </c>
      <c r="B319" s="34" t="s">
        <v>932</v>
      </c>
      <c r="C319" s="34" t="s">
        <v>43</v>
      </c>
      <c r="D319" s="34" t="s">
        <v>1549</v>
      </c>
      <c r="E319" s="34" t="s">
        <v>1496</v>
      </c>
      <c r="F319" s="34" t="s">
        <v>1527</v>
      </c>
      <c r="G319" s="34">
        <v>0.99390000000000001</v>
      </c>
      <c r="H319" s="34" t="s">
        <v>1517</v>
      </c>
      <c r="I319" s="34">
        <v>0.98180000000000001</v>
      </c>
      <c r="J319" s="34" t="s">
        <v>502</v>
      </c>
      <c r="K319" s="34" t="s">
        <v>1551</v>
      </c>
    </row>
    <row r="320" spans="1:11" x14ac:dyDescent="0.25">
      <c r="A320" s="33">
        <v>354</v>
      </c>
      <c r="B320" s="33" t="s">
        <v>775</v>
      </c>
      <c r="C320" s="33" t="s">
        <v>43</v>
      </c>
      <c r="D320" s="33" t="s">
        <v>1465</v>
      </c>
      <c r="E320" s="33" t="s">
        <v>1496</v>
      </c>
      <c r="F320" s="33" t="s">
        <v>1543</v>
      </c>
      <c r="G320" s="33">
        <v>1</v>
      </c>
      <c r="H320" s="33"/>
      <c r="I320" s="33"/>
      <c r="J320" s="33">
        <v>4600000</v>
      </c>
      <c r="K320" s="33"/>
    </row>
    <row r="321" spans="1:11" x14ac:dyDescent="0.25">
      <c r="A321" s="33">
        <v>355</v>
      </c>
      <c r="B321" s="33" t="s">
        <v>854</v>
      </c>
      <c r="C321" s="33" t="s">
        <v>43</v>
      </c>
      <c r="D321" s="33" t="s">
        <v>1465</v>
      </c>
      <c r="E321" s="33" t="s">
        <v>1496</v>
      </c>
      <c r="F321" s="33" t="s">
        <v>1545</v>
      </c>
      <c r="G321" s="33">
        <v>1</v>
      </c>
      <c r="H321" s="33"/>
      <c r="I321" s="33"/>
      <c r="J321" s="33">
        <v>6040000</v>
      </c>
      <c r="K321" s="33"/>
    </row>
    <row r="322" spans="1:11" x14ac:dyDescent="0.25">
      <c r="A322" s="32">
        <v>358</v>
      </c>
      <c r="B322" s="32" t="s">
        <v>941</v>
      </c>
      <c r="C322" s="32" t="s">
        <v>118</v>
      </c>
      <c r="D322" s="32" t="s">
        <v>1463</v>
      </c>
      <c r="E322" s="32"/>
      <c r="F322" s="32"/>
      <c r="G322" s="32"/>
      <c r="H322" s="32"/>
      <c r="I322" s="32"/>
      <c r="J322" s="32">
        <v>0</v>
      </c>
      <c r="K322" s="32" t="s">
        <v>1464</v>
      </c>
    </row>
    <row r="323" spans="1:11" x14ac:dyDescent="0.25">
      <c r="A323" s="33">
        <v>359</v>
      </c>
      <c r="B323" s="33" t="s">
        <v>20</v>
      </c>
      <c r="C323" s="33" t="s">
        <v>21</v>
      </c>
      <c r="D323" s="33" t="s">
        <v>1465</v>
      </c>
      <c r="E323" s="33" t="s">
        <v>1466</v>
      </c>
      <c r="F323" s="33" t="s">
        <v>1467</v>
      </c>
      <c r="G323" s="33">
        <v>1</v>
      </c>
      <c r="H323" s="33"/>
      <c r="I323" s="33"/>
      <c r="J323" s="33">
        <v>15807.93</v>
      </c>
      <c r="K323" s="33"/>
    </row>
    <row r="324" spans="1:11" x14ac:dyDescent="0.25">
      <c r="A324" s="32">
        <v>360</v>
      </c>
      <c r="B324" s="32" t="s">
        <v>26</v>
      </c>
      <c r="C324" s="32" t="s">
        <v>21</v>
      </c>
      <c r="D324" s="32" t="s">
        <v>1468</v>
      </c>
      <c r="E324" s="32"/>
      <c r="F324" s="32"/>
      <c r="G324" s="32"/>
      <c r="H324" s="32"/>
      <c r="I324" s="32"/>
      <c r="J324" s="32">
        <v>0</v>
      </c>
      <c r="K324" s="32" t="s">
        <v>1469</v>
      </c>
    </row>
    <row r="325" spans="1:11" x14ac:dyDescent="0.25">
      <c r="A325" s="33">
        <v>361</v>
      </c>
      <c r="B325" s="33" t="s">
        <v>194</v>
      </c>
      <c r="C325" s="33" t="s">
        <v>32</v>
      </c>
      <c r="D325" s="33" t="s">
        <v>1465</v>
      </c>
      <c r="E325" s="33" t="s">
        <v>1470</v>
      </c>
      <c r="F325" s="33" t="s">
        <v>1491</v>
      </c>
      <c r="G325" s="33">
        <v>1</v>
      </c>
      <c r="H325" s="33"/>
      <c r="I325" s="33"/>
      <c r="J325" s="33">
        <v>54800</v>
      </c>
      <c r="K325" s="33"/>
    </row>
    <row r="326" spans="1:11" x14ac:dyDescent="0.25">
      <c r="A326" s="33">
        <v>362</v>
      </c>
      <c r="B326" s="33" t="s">
        <v>154</v>
      </c>
      <c r="C326" s="33" t="s">
        <v>32</v>
      </c>
      <c r="D326" s="33" t="s">
        <v>1465</v>
      </c>
      <c r="E326" s="33" t="s">
        <v>1470</v>
      </c>
      <c r="F326" s="33" t="s">
        <v>1485</v>
      </c>
      <c r="G326" s="33">
        <v>1</v>
      </c>
      <c r="H326" s="33"/>
      <c r="I326" s="33"/>
      <c r="J326" s="33">
        <v>580</v>
      </c>
      <c r="K326" s="33"/>
    </row>
    <row r="327" spans="1:11" x14ac:dyDescent="0.25">
      <c r="A327" s="33">
        <v>363</v>
      </c>
      <c r="B327" s="33" t="s">
        <v>159</v>
      </c>
      <c r="C327" s="33" t="s">
        <v>32</v>
      </c>
      <c r="D327" s="33" t="s">
        <v>1465</v>
      </c>
      <c r="E327" s="33" t="s">
        <v>1470</v>
      </c>
      <c r="F327" s="33" t="s">
        <v>1486</v>
      </c>
      <c r="G327" s="33">
        <v>1</v>
      </c>
      <c r="H327" s="33"/>
      <c r="I327" s="33"/>
      <c r="J327" s="33">
        <v>45270</v>
      </c>
      <c r="K327" s="33"/>
    </row>
    <row r="328" spans="1:11" x14ac:dyDescent="0.25">
      <c r="A328" s="33">
        <v>364</v>
      </c>
      <c r="B328" s="33" t="s">
        <v>205</v>
      </c>
      <c r="C328" s="33" t="s">
        <v>32</v>
      </c>
      <c r="D328" s="33" t="s">
        <v>1465</v>
      </c>
      <c r="E328" s="33" t="s">
        <v>1470</v>
      </c>
      <c r="F328" s="33" t="s">
        <v>1492</v>
      </c>
      <c r="G328" s="33">
        <v>1</v>
      </c>
      <c r="H328" s="33"/>
      <c r="I328" s="33"/>
      <c r="J328" s="33">
        <v>102000</v>
      </c>
      <c r="K328" s="33"/>
    </row>
    <row r="329" spans="1:11" x14ac:dyDescent="0.25">
      <c r="A329" s="33">
        <v>365</v>
      </c>
      <c r="B329" s="33" t="s">
        <v>210</v>
      </c>
      <c r="C329" s="33" t="s">
        <v>32</v>
      </c>
      <c r="D329" s="33" t="s">
        <v>1465</v>
      </c>
      <c r="E329" s="33" t="s">
        <v>1470</v>
      </c>
      <c r="F329" s="33" t="s">
        <v>1493</v>
      </c>
      <c r="G329" s="33">
        <v>1</v>
      </c>
      <c r="H329" s="33"/>
      <c r="I329" s="33"/>
      <c r="J329" s="33">
        <v>873</v>
      </c>
      <c r="K329" s="33"/>
    </row>
    <row r="330" spans="1:11" x14ac:dyDescent="0.25">
      <c r="A330" s="33">
        <v>366</v>
      </c>
      <c r="B330" s="33" t="s">
        <v>215</v>
      </c>
      <c r="C330" s="33" t="s">
        <v>32</v>
      </c>
      <c r="D330" s="33" t="s">
        <v>1465</v>
      </c>
      <c r="E330" s="33" t="s">
        <v>1470</v>
      </c>
      <c r="F330" s="33" t="s">
        <v>1494</v>
      </c>
      <c r="G330" s="33">
        <v>1</v>
      </c>
      <c r="H330" s="33"/>
      <c r="I330" s="33"/>
      <c r="J330" s="33">
        <v>3200</v>
      </c>
      <c r="K330" s="33"/>
    </row>
    <row r="331" spans="1:11" x14ac:dyDescent="0.25">
      <c r="A331" s="33">
        <v>367</v>
      </c>
      <c r="B331" s="33" t="s">
        <v>164</v>
      </c>
      <c r="C331" s="33" t="s">
        <v>32</v>
      </c>
      <c r="D331" s="33" t="s">
        <v>1465</v>
      </c>
      <c r="E331" s="33" t="s">
        <v>1470</v>
      </c>
      <c r="F331" s="33" t="s">
        <v>1487</v>
      </c>
      <c r="G331" s="33">
        <v>1</v>
      </c>
      <c r="H331" s="33"/>
      <c r="I331" s="33"/>
      <c r="J331" s="33">
        <v>52621.06</v>
      </c>
      <c r="K331" s="33"/>
    </row>
    <row r="332" spans="1:11" x14ac:dyDescent="0.25">
      <c r="A332" s="33">
        <v>368</v>
      </c>
      <c r="B332" s="33" t="s">
        <v>105</v>
      </c>
      <c r="C332" s="33" t="s">
        <v>60</v>
      </c>
      <c r="D332" s="33" t="s">
        <v>1465</v>
      </c>
      <c r="E332" s="33" t="s">
        <v>1474</v>
      </c>
      <c r="F332" s="33" t="s">
        <v>1482</v>
      </c>
      <c r="G332" s="33">
        <v>1</v>
      </c>
      <c r="H332" s="33"/>
      <c r="I332" s="33"/>
      <c r="J332" s="33">
        <v>0</v>
      </c>
      <c r="K332" s="33"/>
    </row>
    <row r="333" spans="1:11" x14ac:dyDescent="0.25">
      <c r="A333" s="33">
        <v>369</v>
      </c>
      <c r="B333" s="33" t="s">
        <v>719</v>
      </c>
      <c r="C333" s="33" t="s">
        <v>60</v>
      </c>
      <c r="D333" s="33" t="s">
        <v>1465</v>
      </c>
      <c r="E333" s="33" t="s">
        <v>1474</v>
      </c>
      <c r="F333" s="33" t="s">
        <v>1540</v>
      </c>
      <c r="G333" s="33">
        <v>1</v>
      </c>
      <c r="H333" s="33"/>
      <c r="I333" s="33"/>
      <c r="J333" s="33">
        <v>490000</v>
      </c>
      <c r="K333" s="33"/>
    </row>
    <row r="334" spans="1:11" x14ac:dyDescent="0.25">
      <c r="A334" s="33">
        <v>370</v>
      </c>
      <c r="B334" s="33" t="s">
        <v>231</v>
      </c>
      <c r="C334" s="33" t="s">
        <v>43</v>
      </c>
      <c r="D334" s="33" t="s">
        <v>1465</v>
      </c>
      <c r="E334" s="33" t="s">
        <v>1496</v>
      </c>
      <c r="F334" s="33" t="s">
        <v>1497</v>
      </c>
      <c r="G334" s="33">
        <v>1</v>
      </c>
      <c r="H334" s="33"/>
      <c r="I334" s="33"/>
      <c r="J334" s="33">
        <v>8200000</v>
      </c>
      <c r="K334" s="33"/>
    </row>
    <row r="335" spans="1:11" x14ac:dyDescent="0.25">
      <c r="A335" s="33">
        <v>371</v>
      </c>
      <c r="B335" s="33" t="s">
        <v>236</v>
      </c>
      <c r="C335" s="33" t="s">
        <v>43</v>
      </c>
      <c r="D335" s="33" t="s">
        <v>1465</v>
      </c>
      <c r="E335" s="33" t="s">
        <v>1496</v>
      </c>
      <c r="F335" s="33" t="s">
        <v>1498</v>
      </c>
      <c r="G335" s="33">
        <v>1</v>
      </c>
      <c r="H335" s="33"/>
      <c r="I335" s="33"/>
      <c r="J335" s="33">
        <v>650000</v>
      </c>
      <c r="K335" s="33"/>
    </row>
    <row r="336" spans="1:11" x14ac:dyDescent="0.25">
      <c r="A336" s="33">
        <v>372</v>
      </c>
      <c r="B336" s="33" t="s">
        <v>241</v>
      </c>
      <c r="C336" s="33" t="s">
        <v>43</v>
      </c>
      <c r="D336" s="33" t="s">
        <v>1465</v>
      </c>
      <c r="E336" s="33" t="s">
        <v>1496</v>
      </c>
      <c r="F336" s="33" t="s">
        <v>1499</v>
      </c>
      <c r="G336" s="33">
        <v>1</v>
      </c>
      <c r="H336" s="33"/>
      <c r="I336" s="33"/>
      <c r="J336" s="33">
        <v>7200000</v>
      </c>
      <c r="K336" s="33"/>
    </row>
    <row r="337" spans="1:11" x14ac:dyDescent="0.25">
      <c r="A337" s="33">
        <v>373</v>
      </c>
      <c r="B337" s="33" t="s">
        <v>246</v>
      </c>
      <c r="C337" s="33" t="s">
        <v>43</v>
      </c>
      <c r="D337" s="33" t="s">
        <v>1465</v>
      </c>
      <c r="E337" s="33" t="s">
        <v>1496</v>
      </c>
      <c r="F337" s="33" t="s">
        <v>1500</v>
      </c>
      <c r="G337" s="33">
        <v>1</v>
      </c>
      <c r="H337" s="33"/>
      <c r="I337" s="33"/>
      <c r="J337" s="33">
        <v>10300000</v>
      </c>
      <c r="K337" s="33"/>
    </row>
    <row r="338" spans="1:11" x14ac:dyDescent="0.25">
      <c r="A338" s="33">
        <v>374</v>
      </c>
      <c r="B338" s="33" t="s">
        <v>985</v>
      </c>
      <c r="C338" s="33" t="s">
        <v>60</v>
      </c>
      <c r="D338" s="33" t="s">
        <v>1465</v>
      </c>
      <c r="E338" s="33" t="s">
        <v>1474</v>
      </c>
      <c r="F338" s="33" t="s">
        <v>1552</v>
      </c>
      <c r="G338" s="33">
        <v>1</v>
      </c>
      <c r="H338" s="33"/>
      <c r="I338" s="33"/>
      <c r="J338" s="33">
        <v>2000000</v>
      </c>
      <c r="K338" s="33"/>
    </row>
    <row r="339" spans="1:11" x14ac:dyDescent="0.25">
      <c r="A339" s="33">
        <v>375</v>
      </c>
      <c r="B339" s="33" t="s">
        <v>557</v>
      </c>
      <c r="C339" s="33" t="s">
        <v>60</v>
      </c>
      <c r="D339" s="33" t="s">
        <v>1465</v>
      </c>
      <c r="E339" s="33" t="s">
        <v>1474</v>
      </c>
      <c r="F339" s="33" t="s">
        <v>1525</v>
      </c>
      <c r="G339" s="33">
        <v>1</v>
      </c>
      <c r="H339" s="33"/>
      <c r="I339" s="33"/>
      <c r="J339" s="33">
        <v>2000000</v>
      </c>
      <c r="K339" s="33"/>
    </row>
    <row r="340" spans="1:11" x14ac:dyDescent="0.25">
      <c r="A340" s="33">
        <v>376</v>
      </c>
      <c r="B340" s="33" t="s">
        <v>992</v>
      </c>
      <c r="C340" s="33" t="s">
        <v>60</v>
      </c>
      <c r="D340" s="33" t="s">
        <v>1465</v>
      </c>
      <c r="E340" s="33" t="s">
        <v>1474</v>
      </c>
      <c r="F340" s="33" t="s">
        <v>1553</v>
      </c>
      <c r="G340" s="33">
        <v>1</v>
      </c>
      <c r="H340" s="33"/>
      <c r="I340" s="33"/>
      <c r="J340" s="33">
        <v>2000000</v>
      </c>
      <c r="K340" s="33"/>
    </row>
    <row r="341" spans="1:11" x14ac:dyDescent="0.25">
      <c r="A341" s="33">
        <v>377</v>
      </c>
      <c r="B341" s="33" t="s">
        <v>996</v>
      </c>
      <c r="C341" s="33" t="s">
        <v>60</v>
      </c>
      <c r="D341" s="33" t="s">
        <v>1465</v>
      </c>
      <c r="E341" s="33" t="s">
        <v>1474</v>
      </c>
      <c r="F341" s="33" t="s">
        <v>1554</v>
      </c>
      <c r="G341" s="33">
        <v>1</v>
      </c>
      <c r="H341" s="33"/>
      <c r="I341" s="33"/>
      <c r="J341" s="33">
        <v>2000000</v>
      </c>
      <c r="K341" s="33"/>
    </row>
    <row r="342" spans="1:11" x14ac:dyDescent="0.25">
      <c r="A342" s="33">
        <v>378</v>
      </c>
      <c r="B342" s="33" t="s">
        <v>254</v>
      </c>
      <c r="C342" s="33" t="s">
        <v>60</v>
      </c>
      <c r="D342" s="33" t="s">
        <v>1465</v>
      </c>
      <c r="E342" s="33" t="s">
        <v>1474</v>
      </c>
      <c r="F342" s="33" t="s">
        <v>1501</v>
      </c>
      <c r="G342" s="33">
        <v>1</v>
      </c>
      <c r="H342" s="33"/>
      <c r="I342" s="33"/>
      <c r="J342" s="33">
        <v>2000000</v>
      </c>
      <c r="K342" s="33"/>
    </row>
    <row r="343" spans="1:11" x14ac:dyDescent="0.25">
      <c r="A343" s="33">
        <v>379</v>
      </c>
      <c r="B343" s="33" t="s">
        <v>564</v>
      </c>
      <c r="C343" s="33" t="s">
        <v>179</v>
      </c>
      <c r="D343" s="33" t="s">
        <v>1465</v>
      </c>
      <c r="E343" s="33" t="s">
        <v>1489</v>
      </c>
      <c r="F343" s="33" t="s">
        <v>1526</v>
      </c>
      <c r="G343" s="33">
        <v>1</v>
      </c>
      <c r="H343" s="33"/>
      <c r="I343" s="33"/>
      <c r="J343" s="33">
        <v>25000</v>
      </c>
      <c r="K343" s="33"/>
    </row>
    <row r="344" spans="1:11" x14ac:dyDescent="0.25">
      <c r="A344" s="32">
        <v>380</v>
      </c>
      <c r="B344" s="32" t="s">
        <v>264</v>
      </c>
      <c r="C344" s="32" t="s">
        <v>43</v>
      </c>
      <c r="D344" s="32" t="s">
        <v>1463</v>
      </c>
      <c r="E344" s="32"/>
      <c r="F344" s="32"/>
      <c r="G344" s="32"/>
      <c r="H344" s="32"/>
      <c r="I344" s="32"/>
      <c r="J344" s="32">
        <v>0</v>
      </c>
      <c r="K344" s="32" t="s">
        <v>1464</v>
      </c>
    </row>
    <row r="345" spans="1:11" x14ac:dyDescent="0.25">
      <c r="A345" s="33">
        <v>381</v>
      </c>
      <c r="B345" s="33" t="s">
        <v>20</v>
      </c>
      <c r="C345" s="33" t="s">
        <v>21</v>
      </c>
      <c r="D345" s="33" t="s">
        <v>1465</v>
      </c>
      <c r="E345" s="33" t="s">
        <v>1466</v>
      </c>
      <c r="F345" s="33" t="s">
        <v>1467</v>
      </c>
      <c r="G345" s="33">
        <v>1</v>
      </c>
      <c r="H345" s="33"/>
      <c r="I345" s="33"/>
      <c r="J345" s="33">
        <v>15807.93</v>
      </c>
      <c r="K345" s="33"/>
    </row>
    <row r="346" spans="1:11" x14ac:dyDescent="0.25">
      <c r="A346" s="32">
        <v>382</v>
      </c>
      <c r="B346" s="32" t="s">
        <v>26</v>
      </c>
      <c r="C346" s="32" t="s">
        <v>21</v>
      </c>
      <c r="D346" s="32" t="s">
        <v>1468</v>
      </c>
      <c r="E346" s="32"/>
      <c r="F346" s="32"/>
      <c r="G346" s="32"/>
      <c r="H346" s="32"/>
      <c r="I346" s="32"/>
      <c r="J346" s="32">
        <v>0</v>
      </c>
      <c r="K346" s="32" t="s">
        <v>1469</v>
      </c>
    </row>
    <row r="347" spans="1:11" x14ac:dyDescent="0.25">
      <c r="A347" s="33">
        <v>383</v>
      </c>
      <c r="B347" s="33" t="s">
        <v>194</v>
      </c>
      <c r="C347" s="33" t="s">
        <v>32</v>
      </c>
      <c r="D347" s="33" t="s">
        <v>1465</v>
      </c>
      <c r="E347" s="33" t="s">
        <v>1470</v>
      </c>
      <c r="F347" s="33" t="s">
        <v>1491</v>
      </c>
      <c r="G347" s="33">
        <v>1</v>
      </c>
      <c r="H347" s="33"/>
      <c r="I347" s="33"/>
      <c r="J347" s="33">
        <v>54800</v>
      </c>
      <c r="K347" s="33"/>
    </row>
    <row r="348" spans="1:11" x14ac:dyDescent="0.25">
      <c r="A348" s="33">
        <v>384</v>
      </c>
      <c r="B348" s="33" t="s">
        <v>159</v>
      </c>
      <c r="C348" s="33" t="s">
        <v>32</v>
      </c>
      <c r="D348" s="33" t="s">
        <v>1465</v>
      </c>
      <c r="E348" s="33" t="s">
        <v>1470</v>
      </c>
      <c r="F348" s="33" t="s">
        <v>1486</v>
      </c>
      <c r="G348" s="33">
        <v>1</v>
      </c>
      <c r="H348" s="33"/>
      <c r="I348" s="33"/>
      <c r="J348" s="33">
        <v>45270</v>
      </c>
      <c r="K348" s="33"/>
    </row>
    <row r="349" spans="1:11" x14ac:dyDescent="0.25">
      <c r="A349" s="33">
        <v>385</v>
      </c>
      <c r="B349" s="33" t="s">
        <v>279</v>
      </c>
      <c r="C349" s="33" t="s">
        <v>32</v>
      </c>
      <c r="D349" s="33" t="s">
        <v>1465</v>
      </c>
      <c r="E349" s="33" t="s">
        <v>1470</v>
      </c>
      <c r="F349" s="33" t="s">
        <v>1503</v>
      </c>
      <c r="G349" s="33">
        <v>1</v>
      </c>
      <c r="H349" s="33"/>
      <c r="I349" s="33"/>
      <c r="J349" s="33">
        <v>637.55999999999995</v>
      </c>
      <c r="K349" s="33"/>
    </row>
    <row r="350" spans="1:11" x14ac:dyDescent="0.25">
      <c r="A350" s="33">
        <v>386</v>
      </c>
      <c r="B350" s="33" t="s">
        <v>284</v>
      </c>
      <c r="C350" s="33" t="s">
        <v>32</v>
      </c>
      <c r="D350" s="33" t="s">
        <v>1465</v>
      </c>
      <c r="E350" s="33" t="s">
        <v>1470</v>
      </c>
      <c r="F350" s="33" t="s">
        <v>1504</v>
      </c>
      <c r="G350" s="33">
        <v>1</v>
      </c>
      <c r="H350" s="33"/>
      <c r="I350" s="33"/>
      <c r="J350" s="33">
        <v>650</v>
      </c>
      <c r="K350" s="33"/>
    </row>
    <row r="351" spans="1:11" x14ac:dyDescent="0.25">
      <c r="A351" s="33">
        <v>387</v>
      </c>
      <c r="B351" s="33" t="s">
        <v>289</v>
      </c>
      <c r="C351" s="33" t="s">
        <v>32</v>
      </c>
      <c r="D351" s="33" t="s">
        <v>1465</v>
      </c>
      <c r="E351" s="33" t="s">
        <v>1470</v>
      </c>
      <c r="F351" s="33" t="s">
        <v>1505</v>
      </c>
      <c r="G351" s="33">
        <v>1</v>
      </c>
      <c r="H351" s="33"/>
      <c r="I351" s="33"/>
      <c r="J351" s="33">
        <v>25650</v>
      </c>
      <c r="K351" s="33"/>
    </row>
    <row r="352" spans="1:11" x14ac:dyDescent="0.25">
      <c r="A352" s="33">
        <v>388</v>
      </c>
      <c r="B352" s="33" t="s">
        <v>293</v>
      </c>
      <c r="C352" s="33" t="s">
        <v>32</v>
      </c>
      <c r="D352" s="33" t="s">
        <v>1465</v>
      </c>
      <c r="E352" s="33" t="s">
        <v>1470</v>
      </c>
      <c r="F352" s="33" t="s">
        <v>1506</v>
      </c>
      <c r="G352" s="33">
        <v>1</v>
      </c>
      <c r="H352" s="33"/>
      <c r="I352" s="33"/>
      <c r="J352" s="33">
        <v>874.37</v>
      </c>
      <c r="K352" s="33"/>
    </row>
    <row r="353" spans="1:11" x14ac:dyDescent="0.25">
      <c r="A353" s="33">
        <v>389</v>
      </c>
      <c r="B353" s="33" t="s">
        <v>298</v>
      </c>
      <c r="C353" s="33" t="s">
        <v>32</v>
      </c>
      <c r="D353" s="33" t="s">
        <v>1465</v>
      </c>
      <c r="E353" s="33" t="s">
        <v>1470</v>
      </c>
      <c r="F353" s="33" t="s">
        <v>1507</v>
      </c>
      <c r="G353" s="33">
        <v>1</v>
      </c>
      <c r="H353" s="33"/>
      <c r="I353" s="33"/>
      <c r="J353" s="33">
        <v>645</v>
      </c>
      <c r="K353" s="33"/>
    </row>
    <row r="354" spans="1:11" x14ac:dyDescent="0.25">
      <c r="A354" s="33">
        <v>390</v>
      </c>
      <c r="B354" s="33" t="s">
        <v>303</v>
      </c>
      <c r="C354" s="33" t="s">
        <v>60</v>
      </c>
      <c r="D354" s="33" t="s">
        <v>1465</v>
      </c>
      <c r="E354" s="33" t="s">
        <v>1474</v>
      </c>
      <c r="F354" s="33" t="s">
        <v>1508</v>
      </c>
      <c r="G354" s="33">
        <v>1</v>
      </c>
      <c r="H354" s="33"/>
      <c r="I354" s="33"/>
      <c r="J354" s="33">
        <v>4500</v>
      </c>
      <c r="K354" s="33"/>
    </row>
    <row r="355" spans="1:11" x14ac:dyDescent="0.25">
      <c r="A355" s="33">
        <v>391</v>
      </c>
      <c r="B355" s="33" t="s">
        <v>308</v>
      </c>
      <c r="C355" s="33" t="s">
        <v>43</v>
      </c>
      <c r="D355" s="33" t="s">
        <v>1465</v>
      </c>
      <c r="E355" s="33" t="s">
        <v>1496</v>
      </c>
      <c r="F355" s="33" t="s">
        <v>1509</v>
      </c>
      <c r="G355" s="33">
        <v>1</v>
      </c>
      <c r="H355" s="33"/>
      <c r="I355" s="33"/>
      <c r="J355" s="33">
        <v>5941000</v>
      </c>
      <c r="K355" s="33"/>
    </row>
    <row r="356" spans="1:11" x14ac:dyDescent="0.25">
      <c r="A356" s="33">
        <v>392</v>
      </c>
      <c r="B356" s="33" t="s">
        <v>313</v>
      </c>
      <c r="C356" s="33" t="s">
        <v>314</v>
      </c>
      <c r="D356" s="33" t="s">
        <v>1465</v>
      </c>
      <c r="E356" s="33" t="s">
        <v>1510</v>
      </c>
      <c r="F356" s="33" t="s">
        <v>1511</v>
      </c>
      <c r="G356" s="33">
        <v>1</v>
      </c>
      <c r="H356" s="33"/>
      <c r="I356" s="33"/>
      <c r="J356" s="33">
        <v>6500</v>
      </c>
      <c r="K356" s="33"/>
    </row>
    <row r="357" spans="1:11" x14ac:dyDescent="0.25">
      <c r="A357" s="33">
        <v>393</v>
      </c>
      <c r="B357" s="33" t="s">
        <v>319</v>
      </c>
      <c r="C357" s="33" t="s">
        <v>320</v>
      </c>
      <c r="D357" s="33" t="s">
        <v>1465</v>
      </c>
      <c r="E357" s="33" t="s">
        <v>1512</v>
      </c>
      <c r="F357" s="33" t="s">
        <v>1513</v>
      </c>
      <c r="G357" s="33">
        <v>1</v>
      </c>
      <c r="H357" s="33"/>
      <c r="I357" s="33"/>
      <c r="J357" s="33">
        <v>3200</v>
      </c>
      <c r="K357" s="33"/>
    </row>
    <row r="358" spans="1:11" x14ac:dyDescent="0.25">
      <c r="A358" s="34">
        <v>394</v>
      </c>
      <c r="B358" s="34" t="s">
        <v>929</v>
      </c>
      <c r="C358" s="34" t="s">
        <v>43</v>
      </c>
      <c r="D358" s="34" t="s">
        <v>1549</v>
      </c>
      <c r="E358" s="34" t="s">
        <v>1496</v>
      </c>
      <c r="F358" s="34" t="s">
        <v>1523</v>
      </c>
      <c r="G358" s="34">
        <v>0.99390000000000001</v>
      </c>
      <c r="H358" s="34" t="s">
        <v>1521</v>
      </c>
      <c r="I358" s="34">
        <v>0.98180000000000001</v>
      </c>
      <c r="J358" s="34" t="s">
        <v>502</v>
      </c>
      <c r="K358" s="34" t="s">
        <v>1550</v>
      </c>
    </row>
    <row r="359" spans="1:11" x14ac:dyDescent="0.25">
      <c r="A359" s="34">
        <v>395</v>
      </c>
      <c r="B359" s="34" t="s">
        <v>932</v>
      </c>
      <c r="C359" s="34" t="s">
        <v>43</v>
      </c>
      <c r="D359" s="34" t="s">
        <v>1549</v>
      </c>
      <c r="E359" s="34" t="s">
        <v>1496</v>
      </c>
      <c r="F359" s="34" t="s">
        <v>1527</v>
      </c>
      <c r="G359" s="34">
        <v>0.99390000000000001</v>
      </c>
      <c r="H359" s="34" t="s">
        <v>1517</v>
      </c>
      <c r="I359" s="34">
        <v>0.98180000000000001</v>
      </c>
      <c r="J359" s="34" t="s">
        <v>502</v>
      </c>
      <c r="K359" s="34" t="s">
        <v>1551</v>
      </c>
    </row>
    <row r="360" spans="1:11" x14ac:dyDescent="0.25">
      <c r="A360" s="33">
        <v>396</v>
      </c>
      <c r="B360" s="33" t="s">
        <v>851</v>
      </c>
      <c r="C360" s="33" t="s">
        <v>43</v>
      </c>
      <c r="D360" s="33" t="s">
        <v>1465</v>
      </c>
      <c r="E360" s="33" t="s">
        <v>1496</v>
      </c>
      <c r="F360" s="33" t="s">
        <v>1544</v>
      </c>
      <c r="G360" s="33">
        <v>1</v>
      </c>
      <c r="H360" s="33"/>
      <c r="I360" s="33"/>
      <c r="J360" s="33">
        <v>4600000</v>
      </c>
      <c r="K360" s="33"/>
    </row>
    <row r="361" spans="1:11" x14ac:dyDescent="0.25">
      <c r="A361" s="33">
        <v>397</v>
      </c>
      <c r="B361" s="33" t="s">
        <v>854</v>
      </c>
      <c r="C361" s="33" t="s">
        <v>43</v>
      </c>
      <c r="D361" s="33" t="s">
        <v>1465</v>
      </c>
      <c r="E361" s="33" t="s">
        <v>1496</v>
      </c>
      <c r="F361" s="33" t="s">
        <v>1545</v>
      </c>
      <c r="G361" s="33">
        <v>1</v>
      </c>
      <c r="H361" s="33"/>
      <c r="I361" s="33"/>
      <c r="J361" s="33">
        <v>6040000</v>
      </c>
      <c r="K361" s="33"/>
    </row>
    <row r="362" spans="1:11" x14ac:dyDescent="0.25">
      <c r="A362" s="32">
        <v>400</v>
      </c>
      <c r="B362" s="32" t="s">
        <v>859</v>
      </c>
      <c r="C362" s="32" t="s">
        <v>118</v>
      </c>
      <c r="D362" s="32" t="s">
        <v>1463</v>
      </c>
      <c r="E362" s="32"/>
      <c r="F362" s="32"/>
      <c r="G362" s="32"/>
      <c r="H362" s="32"/>
      <c r="I362" s="32"/>
      <c r="J362" s="32">
        <v>0</v>
      </c>
      <c r="K362" s="32" t="s">
        <v>1464</v>
      </c>
    </row>
    <row r="363" spans="1:11" x14ac:dyDescent="0.25">
      <c r="A363" s="33">
        <v>401</v>
      </c>
      <c r="B363" s="33" t="s">
        <v>20</v>
      </c>
      <c r="C363" s="33" t="s">
        <v>21</v>
      </c>
      <c r="D363" s="33" t="s">
        <v>1465</v>
      </c>
      <c r="E363" s="33" t="s">
        <v>1466</v>
      </c>
      <c r="F363" s="33" t="s">
        <v>1467</v>
      </c>
      <c r="G363" s="33">
        <v>1</v>
      </c>
      <c r="H363" s="33"/>
      <c r="I363" s="33"/>
      <c r="J363" s="33">
        <v>15807.93</v>
      </c>
      <c r="K363" s="33"/>
    </row>
    <row r="364" spans="1:11" x14ac:dyDescent="0.25">
      <c r="A364" s="32">
        <v>402</v>
      </c>
      <c r="B364" s="32" t="s">
        <v>26</v>
      </c>
      <c r="C364" s="32" t="s">
        <v>21</v>
      </c>
      <c r="D364" s="32" t="s">
        <v>1468</v>
      </c>
      <c r="E364" s="32"/>
      <c r="F364" s="32"/>
      <c r="G364" s="32"/>
      <c r="H364" s="32"/>
      <c r="I364" s="32"/>
      <c r="J364" s="32">
        <v>0</v>
      </c>
      <c r="K364" s="32" t="s">
        <v>1469</v>
      </c>
    </row>
    <row r="365" spans="1:11" x14ac:dyDescent="0.25">
      <c r="A365" s="33">
        <v>403</v>
      </c>
      <c r="B365" s="33" t="s">
        <v>154</v>
      </c>
      <c r="C365" s="33" t="s">
        <v>32</v>
      </c>
      <c r="D365" s="33" t="s">
        <v>1465</v>
      </c>
      <c r="E365" s="33" t="s">
        <v>1470</v>
      </c>
      <c r="F365" s="33" t="s">
        <v>1485</v>
      </c>
      <c r="G365" s="33">
        <v>1</v>
      </c>
      <c r="H365" s="33"/>
      <c r="I365" s="33"/>
      <c r="J365" s="33">
        <v>580</v>
      </c>
      <c r="K365" s="33"/>
    </row>
    <row r="366" spans="1:11" x14ac:dyDescent="0.25">
      <c r="A366" s="33">
        <v>404</v>
      </c>
      <c r="B366" s="33" t="s">
        <v>159</v>
      </c>
      <c r="C366" s="33" t="s">
        <v>32</v>
      </c>
      <c r="D366" s="33" t="s">
        <v>1465</v>
      </c>
      <c r="E366" s="33" t="s">
        <v>1470</v>
      </c>
      <c r="F366" s="33" t="s">
        <v>1486</v>
      </c>
      <c r="G366" s="33">
        <v>1</v>
      </c>
      <c r="H366" s="33"/>
      <c r="I366" s="33"/>
      <c r="J366" s="33">
        <v>45270</v>
      </c>
      <c r="K366" s="33"/>
    </row>
    <row r="367" spans="1:11" x14ac:dyDescent="0.25">
      <c r="A367" s="33">
        <v>405</v>
      </c>
      <c r="B367" s="33" t="s">
        <v>205</v>
      </c>
      <c r="C367" s="33" t="s">
        <v>32</v>
      </c>
      <c r="D367" s="33" t="s">
        <v>1465</v>
      </c>
      <c r="E367" s="33" t="s">
        <v>1470</v>
      </c>
      <c r="F367" s="33" t="s">
        <v>1492</v>
      </c>
      <c r="G367" s="33">
        <v>1</v>
      </c>
      <c r="H367" s="33"/>
      <c r="I367" s="33"/>
      <c r="J367" s="33">
        <v>102000</v>
      </c>
      <c r="K367" s="33"/>
    </row>
    <row r="368" spans="1:11" x14ac:dyDescent="0.25">
      <c r="A368" s="33">
        <v>406</v>
      </c>
      <c r="B368" s="33" t="s">
        <v>164</v>
      </c>
      <c r="C368" s="33" t="s">
        <v>32</v>
      </c>
      <c r="D368" s="33" t="s">
        <v>1465</v>
      </c>
      <c r="E368" s="33" t="s">
        <v>1470</v>
      </c>
      <c r="F368" s="33" t="s">
        <v>1487</v>
      </c>
      <c r="G368" s="33">
        <v>1</v>
      </c>
      <c r="H368" s="33"/>
      <c r="I368" s="33"/>
      <c r="J368" s="33">
        <v>52621.06</v>
      </c>
      <c r="K368" s="33"/>
    </row>
    <row r="369" spans="1:11" x14ac:dyDescent="0.25">
      <c r="A369" s="33">
        <v>407</v>
      </c>
      <c r="B369" s="33" t="s">
        <v>719</v>
      </c>
      <c r="C369" s="33" t="s">
        <v>60</v>
      </c>
      <c r="D369" s="33" t="s">
        <v>1465</v>
      </c>
      <c r="E369" s="33" t="s">
        <v>1474</v>
      </c>
      <c r="F369" s="33" t="s">
        <v>1540</v>
      </c>
      <c r="G369" s="33">
        <v>1</v>
      </c>
      <c r="H369" s="33"/>
      <c r="I369" s="33"/>
      <c r="J369" s="33">
        <v>490000</v>
      </c>
      <c r="K369" s="33"/>
    </row>
    <row r="370" spans="1:11" x14ac:dyDescent="0.25">
      <c r="A370" s="33">
        <v>408</v>
      </c>
      <c r="B370" s="33" t="s">
        <v>231</v>
      </c>
      <c r="C370" s="33" t="s">
        <v>43</v>
      </c>
      <c r="D370" s="33" t="s">
        <v>1465</v>
      </c>
      <c r="E370" s="33" t="s">
        <v>1496</v>
      </c>
      <c r="F370" s="33" t="s">
        <v>1497</v>
      </c>
      <c r="G370" s="33">
        <v>1</v>
      </c>
      <c r="H370" s="33"/>
      <c r="I370" s="33"/>
      <c r="J370" s="33">
        <v>8200000</v>
      </c>
      <c r="K370" s="33"/>
    </row>
    <row r="371" spans="1:11" x14ac:dyDescent="0.25">
      <c r="A371" s="33">
        <v>409</v>
      </c>
      <c r="B371" s="33" t="s">
        <v>886</v>
      </c>
      <c r="C371" s="33" t="s">
        <v>43</v>
      </c>
      <c r="D371" s="33" t="s">
        <v>1465</v>
      </c>
      <c r="E371" s="33" t="s">
        <v>1496</v>
      </c>
      <c r="F371" s="33" t="s">
        <v>1546</v>
      </c>
      <c r="G371" s="33">
        <v>1</v>
      </c>
      <c r="H371" s="33"/>
      <c r="I371" s="33"/>
      <c r="J371" s="33">
        <v>350000</v>
      </c>
      <c r="K371" s="33"/>
    </row>
    <row r="372" spans="1:11" x14ac:dyDescent="0.25">
      <c r="A372" s="33">
        <v>410</v>
      </c>
      <c r="B372" s="33" t="s">
        <v>891</v>
      </c>
      <c r="C372" s="33" t="s">
        <v>43</v>
      </c>
      <c r="D372" s="33" t="s">
        <v>1465</v>
      </c>
      <c r="E372" s="33" t="s">
        <v>1496</v>
      </c>
      <c r="F372" s="33" t="s">
        <v>1547</v>
      </c>
      <c r="G372" s="33">
        <v>1</v>
      </c>
      <c r="H372" s="33"/>
      <c r="I372" s="33"/>
      <c r="J372" s="33">
        <v>5941000</v>
      </c>
      <c r="K372" s="33"/>
    </row>
    <row r="373" spans="1:11" x14ac:dyDescent="0.25">
      <c r="A373" s="33">
        <v>411</v>
      </c>
      <c r="B373" s="33" t="s">
        <v>896</v>
      </c>
      <c r="C373" s="33" t="s">
        <v>60</v>
      </c>
      <c r="D373" s="33" t="s">
        <v>1465</v>
      </c>
      <c r="E373" s="33" t="s">
        <v>1474</v>
      </c>
      <c r="F373" s="33" t="s">
        <v>1548</v>
      </c>
      <c r="G373" s="33">
        <v>1</v>
      </c>
      <c r="H373" s="33"/>
      <c r="I373" s="33"/>
      <c r="J373" s="33">
        <v>2000000</v>
      </c>
      <c r="K373" s="33"/>
    </row>
    <row r="374" spans="1:11" x14ac:dyDescent="0.25">
      <c r="A374" s="32">
        <v>412</v>
      </c>
      <c r="B374" s="32" t="s">
        <v>264</v>
      </c>
      <c r="C374" s="32" t="s">
        <v>43</v>
      </c>
      <c r="D374" s="32" t="s">
        <v>1463</v>
      </c>
      <c r="E374" s="32"/>
      <c r="F374" s="32"/>
      <c r="G374" s="32"/>
      <c r="H374" s="32"/>
      <c r="I374" s="32"/>
      <c r="J374" s="32">
        <v>0</v>
      </c>
      <c r="K374" s="32" t="s">
        <v>1464</v>
      </c>
    </row>
    <row r="375" spans="1:11" x14ac:dyDescent="0.25">
      <c r="A375" s="33">
        <v>413</v>
      </c>
      <c r="B375" s="33" t="s">
        <v>20</v>
      </c>
      <c r="C375" s="33" t="s">
        <v>21</v>
      </c>
      <c r="D375" s="33" t="s">
        <v>1465</v>
      </c>
      <c r="E375" s="33" t="s">
        <v>1466</v>
      </c>
      <c r="F375" s="33" t="s">
        <v>1467</v>
      </c>
      <c r="G375" s="33">
        <v>1</v>
      </c>
      <c r="H375" s="33"/>
      <c r="I375" s="33"/>
      <c r="J375" s="33">
        <v>15807.93</v>
      </c>
      <c r="K375" s="33"/>
    </row>
    <row r="376" spans="1:11" x14ac:dyDescent="0.25">
      <c r="A376" s="32">
        <v>414</v>
      </c>
      <c r="B376" s="32" t="s">
        <v>26</v>
      </c>
      <c r="C376" s="32" t="s">
        <v>21</v>
      </c>
      <c r="D376" s="32" t="s">
        <v>1468</v>
      </c>
      <c r="E376" s="32"/>
      <c r="F376" s="32"/>
      <c r="G376" s="32"/>
      <c r="H376" s="32"/>
      <c r="I376" s="32"/>
      <c r="J376" s="32">
        <v>0</v>
      </c>
      <c r="K376" s="32" t="s">
        <v>1469</v>
      </c>
    </row>
    <row r="377" spans="1:11" x14ac:dyDescent="0.25">
      <c r="A377" s="33">
        <v>415</v>
      </c>
      <c r="B377" s="33" t="s">
        <v>194</v>
      </c>
      <c r="C377" s="33" t="s">
        <v>32</v>
      </c>
      <c r="D377" s="33" t="s">
        <v>1465</v>
      </c>
      <c r="E377" s="33" t="s">
        <v>1470</v>
      </c>
      <c r="F377" s="33" t="s">
        <v>1491</v>
      </c>
      <c r="G377" s="33">
        <v>1</v>
      </c>
      <c r="H377" s="33"/>
      <c r="I377" s="33"/>
      <c r="J377" s="33">
        <v>54800</v>
      </c>
      <c r="K377" s="33"/>
    </row>
    <row r="378" spans="1:11" x14ac:dyDescent="0.25">
      <c r="A378" s="33">
        <v>416</v>
      </c>
      <c r="B378" s="33" t="s">
        <v>159</v>
      </c>
      <c r="C378" s="33" t="s">
        <v>32</v>
      </c>
      <c r="D378" s="33" t="s">
        <v>1465</v>
      </c>
      <c r="E378" s="33" t="s">
        <v>1470</v>
      </c>
      <c r="F378" s="33" t="s">
        <v>1486</v>
      </c>
      <c r="G378" s="33">
        <v>1</v>
      </c>
      <c r="H378" s="33"/>
      <c r="I378" s="33"/>
      <c r="J378" s="33">
        <v>45270</v>
      </c>
      <c r="K378" s="33"/>
    </row>
    <row r="379" spans="1:11" x14ac:dyDescent="0.25">
      <c r="A379" s="33">
        <v>417</v>
      </c>
      <c r="B379" s="33" t="s">
        <v>279</v>
      </c>
      <c r="C379" s="33" t="s">
        <v>32</v>
      </c>
      <c r="D379" s="33" t="s">
        <v>1465</v>
      </c>
      <c r="E379" s="33" t="s">
        <v>1470</v>
      </c>
      <c r="F379" s="33" t="s">
        <v>1503</v>
      </c>
      <c r="G379" s="33">
        <v>1</v>
      </c>
      <c r="H379" s="33"/>
      <c r="I379" s="33"/>
      <c r="J379" s="33">
        <v>637.55999999999995</v>
      </c>
      <c r="K379" s="33"/>
    </row>
    <row r="380" spans="1:11" x14ac:dyDescent="0.25">
      <c r="A380" s="33">
        <v>418</v>
      </c>
      <c r="B380" s="33" t="s">
        <v>284</v>
      </c>
      <c r="C380" s="33" t="s">
        <v>32</v>
      </c>
      <c r="D380" s="33" t="s">
        <v>1465</v>
      </c>
      <c r="E380" s="33" t="s">
        <v>1470</v>
      </c>
      <c r="F380" s="33" t="s">
        <v>1504</v>
      </c>
      <c r="G380" s="33">
        <v>1</v>
      </c>
      <c r="H380" s="33"/>
      <c r="I380" s="33"/>
      <c r="J380" s="33">
        <v>650</v>
      </c>
      <c r="K380" s="33"/>
    </row>
    <row r="381" spans="1:11" x14ac:dyDescent="0.25">
      <c r="A381" s="33">
        <v>419</v>
      </c>
      <c r="B381" s="33" t="s">
        <v>289</v>
      </c>
      <c r="C381" s="33" t="s">
        <v>32</v>
      </c>
      <c r="D381" s="33" t="s">
        <v>1465</v>
      </c>
      <c r="E381" s="33" t="s">
        <v>1470</v>
      </c>
      <c r="F381" s="33" t="s">
        <v>1505</v>
      </c>
      <c r="G381" s="33">
        <v>1</v>
      </c>
      <c r="H381" s="33"/>
      <c r="I381" s="33"/>
      <c r="J381" s="33">
        <v>25650</v>
      </c>
      <c r="K381" s="33"/>
    </row>
    <row r="382" spans="1:11" x14ac:dyDescent="0.25">
      <c r="A382" s="33">
        <v>420</v>
      </c>
      <c r="B382" s="33" t="s">
        <v>293</v>
      </c>
      <c r="C382" s="33" t="s">
        <v>32</v>
      </c>
      <c r="D382" s="33" t="s">
        <v>1465</v>
      </c>
      <c r="E382" s="33" t="s">
        <v>1470</v>
      </c>
      <c r="F382" s="33" t="s">
        <v>1506</v>
      </c>
      <c r="G382" s="33">
        <v>1</v>
      </c>
      <c r="H382" s="33"/>
      <c r="I382" s="33"/>
      <c r="J382" s="33">
        <v>874.37</v>
      </c>
      <c r="K382" s="33"/>
    </row>
    <row r="383" spans="1:11" x14ac:dyDescent="0.25">
      <c r="A383" s="33">
        <v>421</v>
      </c>
      <c r="B383" s="33" t="s">
        <v>298</v>
      </c>
      <c r="C383" s="33" t="s">
        <v>32</v>
      </c>
      <c r="D383" s="33" t="s">
        <v>1465</v>
      </c>
      <c r="E383" s="33" t="s">
        <v>1470</v>
      </c>
      <c r="F383" s="33" t="s">
        <v>1507</v>
      </c>
      <c r="G383" s="33">
        <v>1</v>
      </c>
      <c r="H383" s="33"/>
      <c r="I383" s="33"/>
      <c r="J383" s="33">
        <v>645</v>
      </c>
      <c r="K383" s="33"/>
    </row>
    <row r="384" spans="1:11" x14ac:dyDescent="0.25">
      <c r="A384" s="33">
        <v>422</v>
      </c>
      <c r="B384" s="33" t="s">
        <v>303</v>
      </c>
      <c r="C384" s="33" t="s">
        <v>60</v>
      </c>
      <c r="D384" s="33" t="s">
        <v>1465</v>
      </c>
      <c r="E384" s="33" t="s">
        <v>1474</v>
      </c>
      <c r="F384" s="33" t="s">
        <v>1508</v>
      </c>
      <c r="G384" s="33">
        <v>1</v>
      </c>
      <c r="H384" s="33"/>
      <c r="I384" s="33"/>
      <c r="J384" s="33">
        <v>4500</v>
      </c>
      <c r="K384" s="33"/>
    </row>
    <row r="385" spans="1:11" x14ac:dyDescent="0.25">
      <c r="A385" s="33">
        <v>423</v>
      </c>
      <c r="B385" s="33" t="s">
        <v>308</v>
      </c>
      <c r="C385" s="33" t="s">
        <v>43</v>
      </c>
      <c r="D385" s="33" t="s">
        <v>1465</v>
      </c>
      <c r="E385" s="33" t="s">
        <v>1496</v>
      </c>
      <c r="F385" s="33" t="s">
        <v>1509</v>
      </c>
      <c r="G385" s="33">
        <v>1</v>
      </c>
      <c r="H385" s="33"/>
      <c r="I385" s="33"/>
      <c r="J385" s="33">
        <v>5941000</v>
      </c>
      <c r="K385" s="33"/>
    </row>
    <row r="386" spans="1:11" x14ac:dyDescent="0.25">
      <c r="A386" s="33">
        <v>424</v>
      </c>
      <c r="B386" s="33" t="s">
        <v>313</v>
      </c>
      <c r="C386" s="33" t="s">
        <v>314</v>
      </c>
      <c r="D386" s="33" t="s">
        <v>1465</v>
      </c>
      <c r="E386" s="33" t="s">
        <v>1510</v>
      </c>
      <c r="F386" s="33" t="s">
        <v>1511</v>
      </c>
      <c r="G386" s="33">
        <v>1</v>
      </c>
      <c r="H386" s="33"/>
      <c r="I386" s="33"/>
      <c r="J386" s="33">
        <v>6500</v>
      </c>
      <c r="K386" s="33"/>
    </row>
    <row r="387" spans="1:11" x14ac:dyDescent="0.25">
      <c r="A387" s="33">
        <v>425</v>
      </c>
      <c r="B387" s="33" t="s">
        <v>319</v>
      </c>
      <c r="C387" s="33" t="s">
        <v>320</v>
      </c>
      <c r="D387" s="33" t="s">
        <v>1465</v>
      </c>
      <c r="E387" s="33" t="s">
        <v>1512</v>
      </c>
      <c r="F387" s="33" t="s">
        <v>1513</v>
      </c>
      <c r="G387" s="33">
        <v>1</v>
      </c>
      <c r="H387" s="33"/>
      <c r="I387" s="33"/>
      <c r="J387" s="33">
        <v>3200</v>
      </c>
      <c r="K387" s="33"/>
    </row>
    <row r="388" spans="1:11" x14ac:dyDescent="0.25">
      <c r="A388" s="34">
        <v>426</v>
      </c>
      <c r="B388" s="34" t="s">
        <v>500</v>
      </c>
      <c r="C388" s="34" t="s">
        <v>43</v>
      </c>
      <c r="D388" s="34" t="s">
        <v>1520</v>
      </c>
      <c r="E388" s="34" t="s">
        <v>1496</v>
      </c>
      <c r="F388" s="34" t="s">
        <v>1521</v>
      </c>
      <c r="G388" s="34">
        <v>0.98799999999999999</v>
      </c>
      <c r="H388" s="34" t="s">
        <v>1516</v>
      </c>
      <c r="I388" s="34">
        <v>0.98799999999999999</v>
      </c>
      <c r="J388" s="34" t="s">
        <v>502</v>
      </c>
      <c r="K388" s="34" t="s">
        <v>1522</v>
      </c>
    </row>
    <row r="389" spans="1:11" x14ac:dyDescent="0.25">
      <c r="A389" s="34">
        <v>427</v>
      </c>
      <c r="B389" s="34" t="s">
        <v>929</v>
      </c>
      <c r="C389" s="34" t="s">
        <v>43</v>
      </c>
      <c r="D389" s="34" t="s">
        <v>1549</v>
      </c>
      <c r="E389" s="34" t="s">
        <v>1496</v>
      </c>
      <c r="F389" s="34" t="s">
        <v>1523</v>
      </c>
      <c r="G389" s="34">
        <v>0.99390000000000001</v>
      </c>
      <c r="H389" s="34" t="s">
        <v>1521</v>
      </c>
      <c r="I389" s="34">
        <v>0.98180000000000001</v>
      </c>
      <c r="J389" s="34" t="s">
        <v>502</v>
      </c>
      <c r="K389" s="34" t="s">
        <v>1550</v>
      </c>
    </row>
    <row r="390" spans="1:11" x14ac:dyDescent="0.25">
      <c r="A390" s="34">
        <v>428</v>
      </c>
      <c r="B390" s="34" t="s">
        <v>1097</v>
      </c>
      <c r="C390" s="34" t="s">
        <v>43</v>
      </c>
      <c r="D390" s="34" t="s">
        <v>1549</v>
      </c>
      <c r="E390" s="34" t="s">
        <v>1496</v>
      </c>
      <c r="F390" s="34" t="s">
        <v>1521</v>
      </c>
      <c r="G390" s="34">
        <v>0.99390000000000001</v>
      </c>
      <c r="H390" s="34" t="s">
        <v>1517</v>
      </c>
      <c r="I390" s="34">
        <v>0.98180000000000001</v>
      </c>
      <c r="J390" s="34" t="s">
        <v>502</v>
      </c>
      <c r="K390" s="34" t="s">
        <v>1555</v>
      </c>
    </row>
    <row r="391" spans="1:11" x14ac:dyDescent="0.25">
      <c r="A391" s="34">
        <v>429</v>
      </c>
      <c r="B391" s="34" t="s">
        <v>932</v>
      </c>
      <c r="C391" s="34" t="s">
        <v>43</v>
      </c>
      <c r="D391" s="34" t="s">
        <v>1549</v>
      </c>
      <c r="E391" s="34" t="s">
        <v>1496</v>
      </c>
      <c r="F391" s="34" t="s">
        <v>1527</v>
      </c>
      <c r="G391" s="34">
        <v>0.99390000000000001</v>
      </c>
      <c r="H391" s="34" t="s">
        <v>1517</v>
      </c>
      <c r="I391" s="34">
        <v>0.98180000000000001</v>
      </c>
      <c r="J391" s="34" t="s">
        <v>502</v>
      </c>
      <c r="K391" s="34" t="s">
        <v>1551</v>
      </c>
    </row>
    <row r="392" spans="1:11" x14ac:dyDescent="0.25">
      <c r="A392" s="33">
        <v>430</v>
      </c>
      <c r="B392" s="33" t="s">
        <v>775</v>
      </c>
      <c r="C392" s="33" t="s">
        <v>43</v>
      </c>
      <c r="D392" s="33" t="s">
        <v>1465</v>
      </c>
      <c r="E392" s="33" t="s">
        <v>1496</v>
      </c>
      <c r="F392" s="33" t="s">
        <v>1543</v>
      </c>
      <c r="G392" s="33">
        <v>1</v>
      </c>
      <c r="H392" s="33"/>
      <c r="I392" s="33"/>
      <c r="J392" s="33">
        <v>4600000</v>
      </c>
      <c r="K392" s="33"/>
    </row>
    <row r="393" spans="1:11" x14ac:dyDescent="0.25">
      <c r="A393" s="33">
        <v>431</v>
      </c>
      <c r="B393" s="33" t="s">
        <v>854</v>
      </c>
      <c r="C393" s="33" t="s">
        <v>43</v>
      </c>
      <c r="D393" s="33" t="s">
        <v>1465</v>
      </c>
      <c r="E393" s="33" t="s">
        <v>1496</v>
      </c>
      <c r="F393" s="33" t="s">
        <v>1545</v>
      </c>
      <c r="G393" s="33">
        <v>1</v>
      </c>
      <c r="H393" s="33"/>
      <c r="I393" s="33"/>
      <c r="J393" s="33">
        <v>6040000</v>
      </c>
      <c r="K393" s="33"/>
    </row>
    <row r="394" spans="1:11" x14ac:dyDescent="0.25">
      <c r="A394" s="32">
        <v>434</v>
      </c>
      <c r="B394" s="32" t="s">
        <v>941</v>
      </c>
      <c r="C394" s="32" t="s">
        <v>118</v>
      </c>
      <c r="D394" s="32" t="s">
        <v>1463</v>
      </c>
      <c r="E394" s="32"/>
      <c r="F394" s="32"/>
      <c r="G394" s="32"/>
      <c r="H394" s="32"/>
      <c r="I394" s="32"/>
      <c r="J394" s="32">
        <v>0</v>
      </c>
      <c r="K394" s="32" t="s">
        <v>1464</v>
      </c>
    </row>
    <row r="395" spans="1:11" x14ac:dyDescent="0.25">
      <c r="A395" s="33">
        <v>435</v>
      </c>
      <c r="B395" s="33" t="s">
        <v>20</v>
      </c>
      <c r="C395" s="33" t="s">
        <v>21</v>
      </c>
      <c r="D395" s="33" t="s">
        <v>1465</v>
      </c>
      <c r="E395" s="33" t="s">
        <v>1466</v>
      </c>
      <c r="F395" s="33" t="s">
        <v>1467</v>
      </c>
      <c r="G395" s="33">
        <v>1</v>
      </c>
      <c r="H395" s="33"/>
      <c r="I395" s="33"/>
      <c r="J395" s="33">
        <v>15807.93</v>
      </c>
      <c r="K395" s="33"/>
    </row>
    <row r="396" spans="1:11" x14ac:dyDescent="0.25">
      <c r="A396" s="32">
        <v>436</v>
      </c>
      <c r="B396" s="32" t="s">
        <v>26</v>
      </c>
      <c r="C396" s="32" t="s">
        <v>21</v>
      </c>
      <c r="D396" s="32" t="s">
        <v>1468</v>
      </c>
      <c r="E396" s="32"/>
      <c r="F396" s="32"/>
      <c r="G396" s="32"/>
      <c r="H396" s="32"/>
      <c r="I396" s="32"/>
      <c r="J396" s="32">
        <v>0</v>
      </c>
      <c r="K396" s="32" t="s">
        <v>1469</v>
      </c>
    </row>
    <row r="397" spans="1:11" x14ac:dyDescent="0.25">
      <c r="A397" s="33">
        <v>437</v>
      </c>
      <c r="B397" s="33" t="s">
        <v>194</v>
      </c>
      <c r="C397" s="33" t="s">
        <v>32</v>
      </c>
      <c r="D397" s="33" t="s">
        <v>1465</v>
      </c>
      <c r="E397" s="33" t="s">
        <v>1470</v>
      </c>
      <c r="F397" s="33" t="s">
        <v>1491</v>
      </c>
      <c r="G397" s="33">
        <v>1</v>
      </c>
      <c r="H397" s="33"/>
      <c r="I397" s="33"/>
      <c r="J397" s="33">
        <v>54800</v>
      </c>
      <c r="K397" s="33"/>
    </row>
    <row r="398" spans="1:11" x14ac:dyDescent="0.25">
      <c r="A398" s="33">
        <v>438</v>
      </c>
      <c r="B398" s="33" t="s">
        <v>154</v>
      </c>
      <c r="C398" s="33" t="s">
        <v>32</v>
      </c>
      <c r="D398" s="33" t="s">
        <v>1465</v>
      </c>
      <c r="E398" s="33" t="s">
        <v>1470</v>
      </c>
      <c r="F398" s="33" t="s">
        <v>1485</v>
      </c>
      <c r="G398" s="33">
        <v>1</v>
      </c>
      <c r="H398" s="33"/>
      <c r="I398" s="33"/>
      <c r="J398" s="33">
        <v>580</v>
      </c>
      <c r="K398" s="33"/>
    </row>
    <row r="399" spans="1:11" x14ac:dyDescent="0.25">
      <c r="A399" s="33">
        <v>439</v>
      </c>
      <c r="B399" s="33" t="s">
        <v>159</v>
      </c>
      <c r="C399" s="33" t="s">
        <v>32</v>
      </c>
      <c r="D399" s="33" t="s">
        <v>1465</v>
      </c>
      <c r="E399" s="33" t="s">
        <v>1470</v>
      </c>
      <c r="F399" s="33" t="s">
        <v>1486</v>
      </c>
      <c r="G399" s="33">
        <v>1</v>
      </c>
      <c r="H399" s="33"/>
      <c r="I399" s="33"/>
      <c r="J399" s="33">
        <v>45270</v>
      </c>
      <c r="K399" s="33"/>
    </row>
    <row r="400" spans="1:11" x14ac:dyDescent="0.25">
      <c r="A400" s="33">
        <v>440</v>
      </c>
      <c r="B400" s="33" t="s">
        <v>205</v>
      </c>
      <c r="C400" s="33" t="s">
        <v>32</v>
      </c>
      <c r="D400" s="33" t="s">
        <v>1465</v>
      </c>
      <c r="E400" s="33" t="s">
        <v>1470</v>
      </c>
      <c r="F400" s="33" t="s">
        <v>1492</v>
      </c>
      <c r="G400" s="33">
        <v>1</v>
      </c>
      <c r="H400" s="33"/>
      <c r="I400" s="33"/>
      <c r="J400" s="33">
        <v>102000</v>
      </c>
      <c r="K400" s="33"/>
    </row>
    <row r="401" spans="1:11" x14ac:dyDescent="0.25">
      <c r="A401" s="33">
        <v>441</v>
      </c>
      <c r="B401" s="33" t="s">
        <v>210</v>
      </c>
      <c r="C401" s="33" t="s">
        <v>32</v>
      </c>
      <c r="D401" s="33" t="s">
        <v>1465</v>
      </c>
      <c r="E401" s="33" t="s">
        <v>1470</v>
      </c>
      <c r="F401" s="33" t="s">
        <v>1493</v>
      </c>
      <c r="G401" s="33">
        <v>1</v>
      </c>
      <c r="H401" s="33"/>
      <c r="I401" s="33"/>
      <c r="J401" s="33">
        <v>873</v>
      </c>
      <c r="K401" s="33"/>
    </row>
    <row r="402" spans="1:11" x14ac:dyDescent="0.25">
      <c r="A402" s="33">
        <v>442</v>
      </c>
      <c r="B402" s="33" t="s">
        <v>215</v>
      </c>
      <c r="C402" s="33" t="s">
        <v>32</v>
      </c>
      <c r="D402" s="33" t="s">
        <v>1465</v>
      </c>
      <c r="E402" s="33" t="s">
        <v>1470</v>
      </c>
      <c r="F402" s="33" t="s">
        <v>1494</v>
      </c>
      <c r="G402" s="33">
        <v>1</v>
      </c>
      <c r="H402" s="33"/>
      <c r="I402" s="33"/>
      <c r="J402" s="33">
        <v>3200</v>
      </c>
      <c r="K402" s="33"/>
    </row>
    <row r="403" spans="1:11" x14ac:dyDescent="0.25">
      <c r="A403" s="33">
        <v>443</v>
      </c>
      <c r="B403" s="33" t="s">
        <v>164</v>
      </c>
      <c r="C403" s="33" t="s">
        <v>32</v>
      </c>
      <c r="D403" s="33" t="s">
        <v>1465</v>
      </c>
      <c r="E403" s="33" t="s">
        <v>1470</v>
      </c>
      <c r="F403" s="33" t="s">
        <v>1487</v>
      </c>
      <c r="G403" s="33">
        <v>1</v>
      </c>
      <c r="H403" s="33"/>
      <c r="I403" s="33"/>
      <c r="J403" s="33">
        <v>52621.06</v>
      </c>
      <c r="K403" s="33"/>
    </row>
    <row r="404" spans="1:11" x14ac:dyDescent="0.25">
      <c r="A404" s="33">
        <v>444</v>
      </c>
      <c r="B404" s="33" t="s">
        <v>105</v>
      </c>
      <c r="C404" s="33" t="s">
        <v>60</v>
      </c>
      <c r="D404" s="33" t="s">
        <v>1465</v>
      </c>
      <c r="E404" s="33" t="s">
        <v>1474</v>
      </c>
      <c r="F404" s="33" t="s">
        <v>1482</v>
      </c>
      <c r="G404" s="33">
        <v>1</v>
      </c>
      <c r="H404" s="33"/>
      <c r="I404" s="33"/>
      <c r="J404" s="33">
        <v>0</v>
      </c>
      <c r="K404" s="33"/>
    </row>
    <row r="405" spans="1:11" x14ac:dyDescent="0.25">
      <c r="A405" s="33">
        <v>445</v>
      </c>
      <c r="B405" s="33" t="s">
        <v>719</v>
      </c>
      <c r="C405" s="33" t="s">
        <v>60</v>
      </c>
      <c r="D405" s="33" t="s">
        <v>1465</v>
      </c>
      <c r="E405" s="33" t="s">
        <v>1474</v>
      </c>
      <c r="F405" s="33" t="s">
        <v>1540</v>
      </c>
      <c r="G405" s="33">
        <v>1</v>
      </c>
      <c r="H405" s="33"/>
      <c r="I405" s="33"/>
      <c r="J405" s="33">
        <v>490000</v>
      </c>
      <c r="K405" s="33"/>
    </row>
    <row r="406" spans="1:11" x14ac:dyDescent="0.25">
      <c r="A406" s="33">
        <v>446</v>
      </c>
      <c r="B406" s="33" t="s">
        <v>231</v>
      </c>
      <c r="C406" s="33" t="s">
        <v>43</v>
      </c>
      <c r="D406" s="33" t="s">
        <v>1465</v>
      </c>
      <c r="E406" s="33" t="s">
        <v>1496</v>
      </c>
      <c r="F406" s="33" t="s">
        <v>1497</v>
      </c>
      <c r="G406" s="33">
        <v>1</v>
      </c>
      <c r="H406" s="33"/>
      <c r="I406" s="33"/>
      <c r="J406" s="33">
        <v>8200000</v>
      </c>
      <c r="K406" s="33"/>
    </row>
    <row r="407" spans="1:11" x14ac:dyDescent="0.25">
      <c r="A407" s="33">
        <v>447</v>
      </c>
      <c r="B407" s="33" t="s">
        <v>236</v>
      </c>
      <c r="C407" s="33" t="s">
        <v>43</v>
      </c>
      <c r="D407" s="33" t="s">
        <v>1465</v>
      </c>
      <c r="E407" s="33" t="s">
        <v>1496</v>
      </c>
      <c r="F407" s="33" t="s">
        <v>1498</v>
      </c>
      <c r="G407" s="33">
        <v>1</v>
      </c>
      <c r="H407" s="33"/>
      <c r="I407" s="33"/>
      <c r="J407" s="33">
        <v>650000</v>
      </c>
      <c r="K407" s="33"/>
    </row>
    <row r="408" spans="1:11" x14ac:dyDescent="0.25">
      <c r="A408" s="33">
        <v>448</v>
      </c>
      <c r="B408" s="33" t="s">
        <v>241</v>
      </c>
      <c r="C408" s="33" t="s">
        <v>43</v>
      </c>
      <c r="D408" s="33" t="s">
        <v>1465</v>
      </c>
      <c r="E408" s="33" t="s">
        <v>1496</v>
      </c>
      <c r="F408" s="33" t="s">
        <v>1499</v>
      </c>
      <c r="G408" s="33">
        <v>1</v>
      </c>
      <c r="H408" s="33"/>
      <c r="I408" s="33"/>
      <c r="J408" s="33">
        <v>7200000</v>
      </c>
      <c r="K408" s="33"/>
    </row>
    <row r="409" spans="1:11" x14ac:dyDescent="0.25">
      <c r="A409" s="33">
        <v>449</v>
      </c>
      <c r="B409" s="33" t="s">
        <v>246</v>
      </c>
      <c r="C409" s="33" t="s">
        <v>43</v>
      </c>
      <c r="D409" s="33" t="s">
        <v>1465</v>
      </c>
      <c r="E409" s="33" t="s">
        <v>1496</v>
      </c>
      <c r="F409" s="33" t="s">
        <v>1500</v>
      </c>
      <c r="G409" s="33">
        <v>1</v>
      </c>
      <c r="H409" s="33"/>
      <c r="I409" s="33"/>
      <c r="J409" s="33">
        <v>10300000</v>
      </c>
      <c r="K409" s="33"/>
    </row>
    <row r="410" spans="1:11" x14ac:dyDescent="0.25">
      <c r="A410" s="33">
        <v>450</v>
      </c>
      <c r="B410" s="33" t="s">
        <v>985</v>
      </c>
      <c r="C410" s="33" t="s">
        <v>60</v>
      </c>
      <c r="D410" s="33" t="s">
        <v>1465</v>
      </c>
      <c r="E410" s="33" t="s">
        <v>1474</v>
      </c>
      <c r="F410" s="33" t="s">
        <v>1552</v>
      </c>
      <c r="G410" s="33">
        <v>1</v>
      </c>
      <c r="H410" s="33"/>
      <c r="I410" s="33"/>
      <c r="J410" s="33">
        <v>2000000</v>
      </c>
      <c r="K410" s="33"/>
    </row>
    <row r="411" spans="1:11" x14ac:dyDescent="0.25">
      <c r="A411" s="33">
        <v>451</v>
      </c>
      <c r="B411" s="33" t="s">
        <v>557</v>
      </c>
      <c r="C411" s="33" t="s">
        <v>60</v>
      </c>
      <c r="D411" s="33" t="s">
        <v>1465</v>
      </c>
      <c r="E411" s="33" t="s">
        <v>1474</v>
      </c>
      <c r="F411" s="33" t="s">
        <v>1525</v>
      </c>
      <c r="G411" s="33">
        <v>1</v>
      </c>
      <c r="H411" s="33"/>
      <c r="I411" s="33"/>
      <c r="J411" s="33">
        <v>2000000</v>
      </c>
      <c r="K411" s="33"/>
    </row>
    <row r="412" spans="1:11" x14ac:dyDescent="0.25">
      <c r="A412" s="33">
        <v>452</v>
      </c>
      <c r="B412" s="33" t="s">
        <v>992</v>
      </c>
      <c r="C412" s="33" t="s">
        <v>60</v>
      </c>
      <c r="D412" s="33" t="s">
        <v>1465</v>
      </c>
      <c r="E412" s="33" t="s">
        <v>1474</v>
      </c>
      <c r="F412" s="33" t="s">
        <v>1553</v>
      </c>
      <c r="G412" s="33">
        <v>1</v>
      </c>
      <c r="H412" s="33"/>
      <c r="I412" s="33"/>
      <c r="J412" s="33">
        <v>2000000</v>
      </c>
      <c r="K412" s="33"/>
    </row>
    <row r="413" spans="1:11" x14ac:dyDescent="0.25">
      <c r="A413" s="33">
        <v>453</v>
      </c>
      <c r="B413" s="33" t="s">
        <v>996</v>
      </c>
      <c r="C413" s="33" t="s">
        <v>60</v>
      </c>
      <c r="D413" s="33" t="s">
        <v>1465</v>
      </c>
      <c r="E413" s="33" t="s">
        <v>1474</v>
      </c>
      <c r="F413" s="33" t="s">
        <v>1554</v>
      </c>
      <c r="G413" s="33">
        <v>1</v>
      </c>
      <c r="H413" s="33"/>
      <c r="I413" s="33"/>
      <c r="J413" s="33">
        <v>2000000</v>
      </c>
      <c r="K413" s="33"/>
    </row>
    <row r="414" spans="1:11" x14ac:dyDescent="0.25">
      <c r="A414" s="33">
        <v>454</v>
      </c>
      <c r="B414" s="33" t="s">
        <v>254</v>
      </c>
      <c r="C414" s="33" t="s">
        <v>60</v>
      </c>
      <c r="D414" s="33" t="s">
        <v>1465</v>
      </c>
      <c r="E414" s="33" t="s">
        <v>1474</v>
      </c>
      <c r="F414" s="33" t="s">
        <v>1501</v>
      </c>
      <c r="G414" s="33">
        <v>1</v>
      </c>
      <c r="H414" s="33"/>
      <c r="I414" s="33"/>
      <c r="J414" s="33">
        <v>2000000</v>
      </c>
      <c r="K414" s="33"/>
    </row>
    <row r="415" spans="1:11" x14ac:dyDescent="0.25">
      <c r="A415" s="33">
        <v>455</v>
      </c>
      <c r="B415" s="33" t="s">
        <v>564</v>
      </c>
      <c r="C415" s="33" t="s">
        <v>179</v>
      </c>
      <c r="D415" s="33" t="s">
        <v>1465</v>
      </c>
      <c r="E415" s="33" t="s">
        <v>1489</v>
      </c>
      <c r="F415" s="33" t="s">
        <v>1526</v>
      </c>
      <c r="G415" s="33">
        <v>1</v>
      </c>
      <c r="H415" s="33"/>
      <c r="I415" s="33"/>
      <c r="J415" s="33">
        <v>25000</v>
      </c>
      <c r="K415" s="33"/>
    </row>
    <row r="416" spans="1:11" x14ac:dyDescent="0.25">
      <c r="A416" s="32">
        <v>456</v>
      </c>
      <c r="B416" s="32" t="s">
        <v>264</v>
      </c>
      <c r="C416" s="32" t="s">
        <v>43</v>
      </c>
      <c r="D416" s="32" t="s">
        <v>1463</v>
      </c>
      <c r="E416" s="32"/>
      <c r="F416" s="32"/>
      <c r="G416" s="32"/>
      <c r="H416" s="32"/>
      <c r="I416" s="32"/>
      <c r="J416" s="32">
        <v>0</v>
      </c>
      <c r="K416" s="32" t="s">
        <v>1464</v>
      </c>
    </row>
    <row r="417" spans="1:11" x14ac:dyDescent="0.25">
      <c r="A417" s="33">
        <v>457</v>
      </c>
      <c r="B417" s="33" t="s">
        <v>20</v>
      </c>
      <c r="C417" s="33" t="s">
        <v>21</v>
      </c>
      <c r="D417" s="33" t="s">
        <v>1465</v>
      </c>
      <c r="E417" s="33" t="s">
        <v>1466</v>
      </c>
      <c r="F417" s="33" t="s">
        <v>1467</v>
      </c>
      <c r="G417" s="33">
        <v>1</v>
      </c>
      <c r="H417" s="33"/>
      <c r="I417" s="33"/>
      <c r="J417" s="33">
        <v>15807.93</v>
      </c>
      <c r="K417" s="33"/>
    </row>
    <row r="418" spans="1:11" x14ac:dyDescent="0.25">
      <c r="A418" s="32">
        <v>458</v>
      </c>
      <c r="B418" s="32" t="s">
        <v>26</v>
      </c>
      <c r="C418" s="32" t="s">
        <v>21</v>
      </c>
      <c r="D418" s="32" t="s">
        <v>1468</v>
      </c>
      <c r="E418" s="32"/>
      <c r="F418" s="32"/>
      <c r="G418" s="32"/>
      <c r="H418" s="32"/>
      <c r="I418" s="32"/>
      <c r="J418" s="32">
        <v>0</v>
      </c>
      <c r="K418" s="32" t="s">
        <v>1469</v>
      </c>
    </row>
    <row r="419" spans="1:11" x14ac:dyDescent="0.25">
      <c r="A419" s="33">
        <v>459</v>
      </c>
      <c r="B419" s="33" t="s">
        <v>194</v>
      </c>
      <c r="C419" s="33" t="s">
        <v>32</v>
      </c>
      <c r="D419" s="33" t="s">
        <v>1465</v>
      </c>
      <c r="E419" s="33" t="s">
        <v>1470</v>
      </c>
      <c r="F419" s="33" t="s">
        <v>1491</v>
      </c>
      <c r="G419" s="33">
        <v>1</v>
      </c>
      <c r="H419" s="33"/>
      <c r="I419" s="33"/>
      <c r="J419" s="33">
        <v>54800</v>
      </c>
      <c r="K419" s="33"/>
    </row>
    <row r="420" spans="1:11" x14ac:dyDescent="0.25">
      <c r="A420" s="33">
        <v>460</v>
      </c>
      <c r="B420" s="33" t="s">
        <v>159</v>
      </c>
      <c r="C420" s="33" t="s">
        <v>32</v>
      </c>
      <c r="D420" s="33" t="s">
        <v>1465</v>
      </c>
      <c r="E420" s="33" t="s">
        <v>1470</v>
      </c>
      <c r="F420" s="33" t="s">
        <v>1486</v>
      </c>
      <c r="G420" s="33">
        <v>1</v>
      </c>
      <c r="H420" s="33"/>
      <c r="I420" s="33"/>
      <c r="J420" s="33">
        <v>45270</v>
      </c>
      <c r="K420" s="33"/>
    </row>
    <row r="421" spans="1:11" x14ac:dyDescent="0.25">
      <c r="A421" s="33">
        <v>461</v>
      </c>
      <c r="B421" s="33" t="s">
        <v>279</v>
      </c>
      <c r="C421" s="33" t="s">
        <v>32</v>
      </c>
      <c r="D421" s="33" t="s">
        <v>1465</v>
      </c>
      <c r="E421" s="33" t="s">
        <v>1470</v>
      </c>
      <c r="F421" s="33" t="s">
        <v>1503</v>
      </c>
      <c r="G421" s="33">
        <v>1</v>
      </c>
      <c r="H421" s="33"/>
      <c r="I421" s="33"/>
      <c r="J421" s="33">
        <v>637.55999999999995</v>
      </c>
      <c r="K421" s="33"/>
    </row>
    <row r="422" spans="1:11" x14ac:dyDescent="0.25">
      <c r="A422" s="33">
        <v>462</v>
      </c>
      <c r="B422" s="33" t="s">
        <v>284</v>
      </c>
      <c r="C422" s="33" t="s">
        <v>32</v>
      </c>
      <c r="D422" s="33" t="s">
        <v>1465</v>
      </c>
      <c r="E422" s="33" t="s">
        <v>1470</v>
      </c>
      <c r="F422" s="33" t="s">
        <v>1504</v>
      </c>
      <c r="G422" s="33">
        <v>1</v>
      </c>
      <c r="H422" s="33"/>
      <c r="I422" s="33"/>
      <c r="J422" s="33">
        <v>650</v>
      </c>
      <c r="K422" s="33"/>
    </row>
    <row r="423" spans="1:11" x14ac:dyDescent="0.25">
      <c r="A423" s="33">
        <v>463</v>
      </c>
      <c r="B423" s="33" t="s">
        <v>289</v>
      </c>
      <c r="C423" s="33" t="s">
        <v>32</v>
      </c>
      <c r="D423" s="33" t="s">
        <v>1465</v>
      </c>
      <c r="E423" s="33" t="s">
        <v>1470</v>
      </c>
      <c r="F423" s="33" t="s">
        <v>1505</v>
      </c>
      <c r="G423" s="33">
        <v>1</v>
      </c>
      <c r="H423" s="33"/>
      <c r="I423" s="33"/>
      <c r="J423" s="33">
        <v>25650</v>
      </c>
      <c r="K423" s="33"/>
    </row>
    <row r="424" spans="1:11" x14ac:dyDescent="0.25">
      <c r="A424" s="33">
        <v>464</v>
      </c>
      <c r="B424" s="33" t="s">
        <v>293</v>
      </c>
      <c r="C424" s="33" t="s">
        <v>32</v>
      </c>
      <c r="D424" s="33" t="s">
        <v>1465</v>
      </c>
      <c r="E424" s="33" t="s">
        <v>1470</v>
      </c>
      <c r="F424" s="33" t="s">
        <v>1506</v>
      </c>
      <c r="G424" s="33">
        <v>1</v>
      </c>
      <c r="H424" s="33"/>
      <c r="I424" s="33"/>
      <c r="J424" s="33">
        <v>874.37</v>
      </c>
      <c r="K424" s="33"/>
    </row>
    <row r="425" spans="1:11" x14ac:dyDescent="0.25">
      <c r="A425" s="33">
        <v>465</v>
      </c>
      <c r="B425" s="33" t="s">
        <v>298</v>
      </c>
      <c r="C425" s="33" t="s">
        <v>32</v>
      </c>
      <c r="D425" s="33" t="s">
        <v>1465</v>
      </c>
      <c r="E425" s="33" t="s">
        <v>1470</v>
      </c>
      <c r="F425" s="33" t="s">
        <v>1507</v>
      </c>
      <c r="G425" s="33">
        <v>1</v>
      </c>
      <c r="H425" s="33"/>
      <c r="I425" s="33"/>
      <c r="J425" s="33">
        <v>645</v>
      </c>
      <c r="K425" s="33"/>
    </row>
    <row r="426" spans="1:11" x14ac:dyDescent="0.25">
      <c r="A426" s="33">
        <v>466</v>
      </c>
      <c r="B426" s="33" t="s">
        <v>303</v>
      </c>
      <c r="C426" s="33" t="s">
        <v>60</v>
      </c>
      <c r="D426" s="33" t="s">
        <v>1465</v>
      </c>
      <c r="E426" s="33" t="s">
        <v>1474</v>
      </c>
      <c r="F426" s="33" t="s">
        <v>1508</v>
      </c>
      <c r="G426" s="33">
        <v>1</v>
      </c>
      <c r="H426" s="33"/>
      <c r="I426" s="33"/>
      <c r="J426" s="33">
        <v>4500</v>
      </c>
      <c r="K426" s="33"/>
    </row>
    <row r="427" spans="1:11" x14ac:dyDescent="0.25">
      <c r="A427" s="33">
        <v>467</v>
      </c>
      <c r="B427" s="33" t="s">
        <v>308</v>
      </c>
      <c r="C427" s="33" t="s">
        <v>43</v>
      </c>
      <c r="D427" s="33" t="s">
        <v>1465</v>
      </c>
      <c r="E427" s="33" t="s">
        <v>1496</v>
      </c>
      <c r="F427" s="33" t="s">
        <v>1509</v>
      </c>
      <c r="G427" s="33">
        <v>1</v>
      </c>
      <c r="H427" s="33"/>
      <c r="I427" s="33"/>
      <c r="J427" s="33">
        <v>5941000</v>
      </c>
      <c r="K427" s="33"/>
    </row>
    <row r="428" spans="1:11" x14ac:dyDescent="0.25">
      <c r="A428" s="33">
        <v>468</v>
      </c>
      <c r="B428" s="33" t="s">
        <v>313</v>
      </c>
      <c r="C428" s="33" t="s">
        <v>314</v>
      </c>
      <c r="D428" s="33" t="s">
        <v>1465</v>
      </c>
      <c r="E428" s="33" t="s">
        <v>1510</v>
      </c>
      <c r="F428" s="33" t="s">
        <v>1511</v>
      </c>
      <c r="G428" s="33">
        <v>1</v>
      </c>
      <c r="H428" s="33"/>
      <c r="I428" s="33"/>
      <c r="J428" s="33">
        <v>6500</v>
      </c>
      <c r="K428" s="33"/>
    </row>
    <row r="429" spans="1:11" x14ac:dyDescent="0.25">
      <c r="A429" s="33">
        <v>469</v>
      </c>
      <c r="B429" s="33" t="s">
        <v>319</v>
      </c>
      <c r="C429" s="33" t="s">
        <v>320</v>
      </c>
      <c r="D429" s="33" t="s">
        <v>1465</v>
      </c>
      <c r="E429" s="33" t="s">
        <v>1512</v>
      </c>
      <c r="F429" s="33" t="s">
        <v>1513</v>
      </c>
      <c r="G429" s="33">
        <v>1</v>
      </c>
      <c r="H429" s="33"/>
      <c r="I429" s="33"/>
      <c r="J429" s="33">
        <v>3200</v>
      </c>
      <c r="K429" s="33"/>
    </row>
    <row r="430" spans="1:11" x14ac:dyDescent="0.25">
      <c r="A430" s="34">
        <v>470</v>
      </c>
      <c r="B430" s="34" t="s">
        <v>929</v>
      </c>
      <c r="C430" s="34" t="s">
        <v>43</v>
      </c>
      <c r="D430" s="34" t="s">
        <v>1549</v>
      </c>
      <c r="E430" s="34" t="s">
        <v>1496</v>
      </c>
      <c r="F430" s="34" t="s">
        <v>1523</v>
      </c>
      <c r="G430" s="34">
        <v>0.99390000000000001</v>
      </c>
      <c r="H430" s="34" t="s">
        <v>1521</v>
      </c>
      <c r="I430" s="34">
        <v>0.98180000000000001</v>
      </c>
      <c r="J430" s="34" t="s">
        <v>502</v>
      </c>
      <c r="K430" s="34" t="s">
        <v>1550</v>
      </c>
    </row>
    <row r="431" spans="1:11" x14ac:dyDescent="0.25">
      <c r="A431" s="34">
        <v>471</v>
      </c>
      <c r="B431" s="34" t="s">
        <v>932</v>
      </c>
      <c r="C431" s="34" t="s">
        <v>43</v>
      </c>
      <c r="D431" s="34" t="s">
        <v>1549</v>
      </c>
      <c r="E431" s="34" t="s">
        <v>1496</v>
      </c>
      <c r="F431" s="34" t="s">
        <v>1527</v>
      </c>
      <c r="G431" s="34">
        <v>0.99390000000000001</v>
      </c>
      <c r="H431" s="34" t="s">
        <v>1517</v>
      </c>
      <c r="I431" s="34">
        <v>0.98180000000000001</v>
      </c>
      <c r="J431" s="34" t="s">
        <v>502</v>
      </c>
      <c r="K431" s="34" t="s">
        <v>1551</v>
      </c>
    </row>
    <row r="432" spans="1:11" x14ac:dyDescent="0.25">
      <c r="A432" s="33">
        <v>472</v>
      </c>
      <c r="B432" s="33" t="s">
        <v>851</v>
      </c>
      <c r="C432" s="33" t="s">
        <v>43</v>
      </c>
      <c r="D432" s="33" t="s">
        <v>1465</v>
      </c>
      <c r="E432" s="33" t="s">
        <v>1496</v>
      </c>
      <c r="F432" s="33" t="s">
        <v>1544</v>
      </c>
      <c r="G432" s="33">
        <v>1</v>
      </c>
      <c r="H432" s="33"/>
      <c r="I432" s="33"/>
      <c r="J432" s="33">
        <v>4600000</v>
      </c>
      <c r="K432" s="33"/>
    </row>
    <row r="433" spans="1:11" x14ac:dyDescent="0.25">
      <c r="A433" s="33">
        <v>473</v>
      </c>
      <c r="B433" s="33" t="s">
        <v>854</v>
      </c>
      <c r="C433" s="33" t="s">
        <v>43</v>
      </c>
      <c r="D433" s="33" t="s">
        <v>1465</v>
      </c>
      <c r="E433" s="33" t="s">
        <v>1496</v>
      </c>
      <c r="F433" s="33" t="s">
        <v>1545</v>
      </c>
      <c r="G433" s="33">
        <v>1</v>
      </c>
      <c r="H433" s="33"/>
      <c r="I433" s="33"/>
      <c r="J433" s="33">
        <v>6040000</v>
      </c>
      <c r="K433" s="33"/>
    </row>
    <row r="434" spans="1:11" x14ac:dyDescent="0.25">
      <c r="A434" s="32">
        <v>476</v>
      </c>
      <c r="B434" s="32" t="s">
        <v>1147</v>
      </c>
      <c r="C434" s="32" t="s">
        <v>1148</v>
      </c>
      <c r="D434" s="32" t="s">
        <v>1463</v>
      </c>
      <c r="E434" s="32"/>
      <c r="F434" s="32"/>
      <c r="G434" s="32"/>
      <c r="H434" s="32"/>
      <c r="I434" s="32"/>
      <c r="J434" s="32">
        <v>0</v>
      </c>
      <c r="K434" s="32" t="s">
        <v>1464</v>
      </c>
    </row>
    <row r="435" spans="1:11" x14ac:dyDescent="0.25">
      <c r="A435" s="33">
        <v>477</v>
      </c>
      <c r="B435" s="33" t="s">
        <v>20</v>
      </c>
      <c r="C435" s="33" t="s">
        <v>21</v>
      </c>
      <c r="D435" s="33" t="s">
        <v>1465</v>
      </c>
      <c r="E435" s="33" t="s">
        <v>1466</v>
      </c>
      <c r="F435" s="33" t="s">
        <v>1467</v>
      </c>
      <c r="G435" s="33">
        <v>1</v>
      </c>
      <c r="H435" s="33"/>
      <c r="I435" s="33"/>
      <c r="J435" s="33">
        <v>15807.93</v>
      </c>
      <c r="K435" s="33"/>
    </row>
    <row r="436" spans="1:11" x14ac:dyDescent="0.25">
      <c r="A436" s="32">
        <v>478</v>
      </c>
      <c r="B436" s="32" t="s">
        <v>26</v>
      </c>
      <c r="C436" s="32" t="s">
        <v>21</v>
      </c>
      <c r="D436" s="32" t="s">
        <v>1468</v>
      </c>
      <c r="E436" s="32"/>
      <c r="F436" s="32"/>
      <c r="G436" s="32"/>
      <c r="H436" s="32"/>
      <c r="I436" s="32"/>
      <c r="J436" s="32">
        <v>0</v>
      </c>
      <c r="K436" s="32" t="s">
        <v>1469</v>
      </c>
    </row>
    <row r="437" spans="1:11" x14ac:dyDescent="0.25">
      <c r="A437" s="33">
        <v>479</v>
      </c>
      <c r="B437" s="33" t="s">
        <v>159</v>
      </c>
      <c r="C437" s="33" t="s">
        <v>32</v>
      </c>
      <c r="D437" s="33" t="s">
        <v>1465</v>
      </c>
      <c r="E437" s="33" t="s">
        <v>1470</v>
      </c>
      <c r="F437" s="33" t="s">
        <v>1486</v>
      </c>
      <c r="G437" s="33">
        <v>1</v>
      </c>
      <c r="H437" s="33"/>
      <c r="I437" s="33"/>
      <c r="J437" s="33">
        <v>45270</v>
      </c>
      <c r="K437" s="33"/>
    </row>
    <row r="438" spans="1:11" x14ac:dyDescent="0.25">
      <c r="A438" s="33">
        <v>480</v>
      </c>
      <c r="B438" s="33" t="s">
        <v>215</v>
      </c>
      <c r="C438" s="33" t="s">
        <v>32</v>
      </c>
      <c r="D438" s="33" t="s">
        <v>1465</v>
      </c>
      <c r="E438" s="33" t="s">
        <v>1470</v>
      </c>
      <c r="F438" s="33" t="s">
        <v>1494</v>
      </c>
      <c r="G438" s="33">
        <v>1</v>
      </c>
      <c r="H438" s="33"/>
      <c r="I438" s="33"/>
      <c r="J438" s="33">
        <v>3200</v>
      </c>
      <c r="K438" s="33"/>
    </row>
    <row r="439" spans="1:11" x14ac:dyDescent="0.25">
      <c r="A439" s="33">
        <v>481</v>
      </c>
      <c r="B439" s="33" t="s">
        <v>164</v>
      </c>
      <c r="C439" s="33" t="s">
        <v>32</v>
      </c>
      <c r="D439" s="33" t="s">
        <v>1465</v>
      </c>
      <c r="E439" s="33" t="s">
        <v>1470</v>
      </c>
      <c r="F439" s="33" t="s">
        <v>1487</v>
      </c>
      <c r="G439" s="33">
        <v>1</v>
      </c>
      <c r="H439" s="33"/>
      <c r="I439" s="33"/>
      <c r="J439" s="33">
        <v>52621.06</v>
      </c>
      <c r="K439" s="33"/>
    </row>
    <row r="440" spans="1:11" x14ac:dyDescent="0.25">
      <c r="A440" s="33">
        <v>482</v>
      </c>
      <c r="B440" s="33" t="s">
        <v>1167</v>
      </c>
      <c r="C440" s="33" t="s">
        <v>60</v>
      </c>
      <c r="D440" s="33" t="s">
        <v>1465</v>
      </c>
      <c r="E440" s="33" t="s">
        <v>1474</v>
      </c>
      <c r="F440" s="33" t="s">
        <v>1556</v>
      </c>
      <c r="G440" s="33">
        <v>1</v>
      </c>
      <c r="H440" s="33"/>
      <c r="I440" s="33"/>
      <c r="J440" s="33">
        <v>280000</v>
      </c>
      <c r="K440" s="33"/>
    </row>
    <row r="441" spans="1:11" x14ac:dyDescent="0.25">
      <c r="A441" s="33">
        <v>483</v>
      </c>
      <c r="B441" s="33" t="s">
        <v>1172</v>
      </c>
      <c r="C441" s="33" t="s">
        <v>43</v>
      </c>
      <c r="D441" s="33" t="s">
        <v>1465</v>
      </c>
      <c r="E441" s="33" t="s">
        <v>1496</v>
      </c>
      <c r="F441" s="33" t="s">
        <v>1557</v>
      </c>
      <c r="G441" s="33">
        <v>1</v>
      </c>
      <c r="H441" s="33"/>
      <c r="I441" s="33"/>
      <c r="J441" s="33">
        <v>10300000</v>
      </c>
      <c r="K441" s="33"/>
    </row>
    <row r="442" spans="1:11" x14ac:dyDescent="0.25">
      <c r="A442" s="33">
        <v>484</v>
      </c>
      <c r="B442" s="33" t="s">
        <v>1176</v>
      </c>
      <c r="C442" s="33" t="s">
        <v>314</v>
      </c>
      <c r="D442" s="33" t="s">
        <v>1465</v>
      </c>
      <c r="E442" s="33" t="s">
        <v>1510</v>
      </c>
      <c r="F442" s="33" t="s">
        <v>1558</v>
      </c>
      <c r="G442" s="33">
        <v>1</v>
      </c>
      <c r="H442" s="33"/>
      <c r="I442" s="33"/>
      <c r="J442" s="33">
        <v>915315</v>
      </c>
      <c r="K442" s="33"/>
    </row>
    <row r="443" spans="1:11" x14ac:dyDescent="0.25">
      <c r="A443" s="33">
        <v>485</v>
      </c>
      <c r="B443" s="33" t="s">
        <v>1179</v>
      </c>
      <c r="C443" s="33" t="s">
        <v>314</v>
      </c>
      <c r="D443" s="33" t="s">
        <v>1465</v>
      </c>
      <c r="E443" s="33" t="s">
        <v>1510</v>
      </c>
      <c r="F443" s="33" t="s">
        <v>1559</v>
      </c>
      <c r="G443" s="33">
        <v>1</v>
      </c>
      <c r="H443" s="33"/>
      <c r="I443" s="33"/>
      <c r="J443" s="33">
        <v>1087874</v>
      </c>
      <c r="K443" s="33"/>
    </row>
    <row r="444" spans="1:11" x14ac:dyDescent="0.25">
      <c r="A444" s="33">
        <v>486</v>
      </c>
      <c r="B444" s="33" t="s">
        <v>1182</v>
      </c>
      <c r="C444" s="33" t="s">
        <v>314</v>
      </c>
      <c r="D444" s="33" t="s">
        <v>1465</v>
      </c>
      <c r="E444" s="33" t="s">
        <v>1510</v>
      </c>
      <c r="F444" s="33" t="s">
        <v>1560</v>
      </c>
      <c r="G444" s="33">
        <v>1</v>
      </c>
      <c r="H444" s="33"/>
      <c r="I444" s="33"/>
      <c r="J444" s="33">
        <v>1064798</v>
      </c>
      <c r="K444" s="33"/>
    </row>
    <row r="445" spans="1:11" x14ac:dyDescent="0.25">
      <c r="A445" s="33">
        <v>487</v>
      </c>
      <c r="B445" s="33" t="s">
        <v>1185</v>
      </c>
      <c r="C445" s="33" t="s">
        <v>314</v>
      </c>
      <c r="D445" s="33" t="s">
        <v>1465</v>
      </c>
      <c r="E445" s="33" t="s">
        <v>1510</v>
      </c>
      <c r="F445" s="33" t="s">
        <v>1561</v>
      </c>
      <c r="G445" s="33">
        <v>1</v>
      </c>
      <c r="H445" s="33"/>
      <c r="I445" s="33"/>
      <c r="J445" s="33">
        <v>1212733</v>
      </c>
      <c r="K445" s="33"/>
    </row>
    <row r="446" spans="1:11" x14ac:dyDescent="0.25">
      <c r="A446" s="32">
        <v>488</v>
      </c>
      <c r="B446" s="32" t="s">
        <v>1188</v>
      </c>
      <c r="C446" s="32" t="s">
        <v>1148</v>
      </c>
      <c r="D446" s="32" t="s">
        <v>1463</v>
      </c>
      <c r="E446" s="32"/>
      <c r="F446" s="32"/>
      <c r="G446" s="32"/>
      <c r="H446" s="32"/>
      <c r="I446" s="32"/>
      <c r="J446" s="32">
        <v>0</v>
      </c>
      <c r="K446" s="32" t="s">
        <v>1464</v>
      </c>
    </row>
    <row r="447" spans="1:11" x14ac:dyDescent="0.25">
      <c r="A447" s="33">
        <v>489</v>
      </c>
      <c r="B447" s="33" t="s">
        <v>20</v>
      </c>
      <c r="C447" s="33" t="s">
        <v>21</v>
      </c>
      <c r="D447" s="33" t="s">
        <v>1465</v>
      </c>
      <c r="E447" s="33" t="s">
        <v>1466</v>
      </c>
      <c r="F447" s="33" t="s">
        <v>1467</v>
      </c>
      <c r="G447" s="33">
        <v>1</v>
      </c>
      <c r="H447" s="33"/>
      <c r="I447" s="33"/>
      <c r="J447" s="33">
        <v>15807.93</v>
      </c>
      <c r="K447" s="33"/>
    </row>
    <row r="448" spans="1:11" x14ac:dyDescent="0.25">
      <c r="A448" s="32">
        <v>490</v>
      </c>
      <c r="B448" s="32" t="s">
        <v>26</v>
      </c>
      <c r="C448" s="32" t="s">
        <v>21</v>
      </c>
      <c r="D448" s="32" t="s">
        <v>1468</v>
      </c>
      <c r="E448" s="32"/>
      <c r="F448" s="32"/>
      <c r="G448" s="32"/>
      <c r="H448" s="32"/>
      <c r="I448" s="32"/>
      <c r="J448" s="32">
        <v>0</v>
      </c>
      <c r="K448" s="32" t="s">
        <v>1469</v>
      </c>
    </row>
    <row r="449" spans="1:11" x14ac:dyDescent="0.25">
      <c r="A449" s="33">
        <v>491</v>
      </c>
      <c r="B449" s="33" t="s">
        <v>159</v>
      </c>
      <c r="C449" s="33" t="s">
        <v>32</v>
      </c>
      <c r="D449" s="33" t="s">
        <v>1465</v>
      </c>
      <c r="E449" s="33" t="s">
        <v>1470</v>
      </c>
      <c r="F449" s="33" t="s">
        <v>1486</v>
      </c>
      <c r="G449" s="33">
        <v>1</v>
      </c>
      <c r="H449" s="33"/>
      <c r="I449" s="33"/>
      <c r="J449" s="33">
        <v>45270</v>
      </c>
      <c r="K449" s="33"/>
    </row>
    <row r="450" spans="1:11" x14ac:dyDescent="0.25">
      <c r="A450" s="33">
        <v>492</v>
      </c>
      <c r="B450" s="33" t="s">
        <v>215</v>
      </c>
      <c r="C450" s="33" t="s">
        <v>32</v>
      </c>
      <c r="D450" s="33" t="s">
        <v>1465</v>
      </c>
      <c r="E450" s="33" t="s">
        <v>1470</v>
      </c>
      <c r="F450" s="33" t="s">
        <v>1494</v>
      </c>
      <c r="G450" s="33">
        <v>1</v>
      </c>
      <c r="H450" s="33"/>
      <c r="I450" s="33"/>
      <c r="J450" s="33">
        <v>3200</v>
      </c>
      <c r="K450" s="33"/>
    </row>
    <row r="451" spans="1:11" x14ac:dyDescent="0.25">
      <c r="A451" s="33">
        <v>493</v>
      </c>
      <c r="B451" s="33" t="s">
        <v>164</v>
      </c>
      <c r="C451" s="33" t="s">
        <v>32</v>
      </c>
      <c r="D451" s="33" t="s">
        <v>1465</v>
      </c>
      <c r="E451" s="33" t="s">
        <v>1470</v>
      </c>
      <c r="F451" s="33" t="s">
        <v>1487</v>
      </c>
      <c r="G451" s="33">
        <v>1</v>
      </c>
      <c r="H451" s="33"/>
      <c r="I451" s="33"/>
      <c r="J451" s="33">
        <v>52621.06</v>
      </c>
      <c r="K451" s="33"/>
    </row>
    <row r="452" spans="1:11" x14ac:dyDescent="0.25">
      <c r="A452" s="33">
        <v>494</v>
      </c>
      <c r="B452" s="33" t="s">
        <v>1167</v>
      </c>
      <c r="C452" s="33" t="s">
        <v>60</v>
      </c>
      <c r="D452" s="33" t="s">
        <v>1465</v>
      </c>
      <c r="E452" s="33" t="s">
        <v>1474</v>
      </c>
      <c r="F452" s="33" t="s">
        <v>1556</v>
      </c>
      <c r="G452" s="33">
        <v>1</v>
      </c>
      <c r="H452" s="33"/>
      <c r="I452" s="33"/>
      <c r="J452" s="33">
        <v>280000</v>
      </c>
      <c r="K452" s="33"/>
    </row>
    <row r="453" spans="1:11" x14ac:dyDescent="0.25">
      <c r="A453" s="33">
        <v>495</v>
      </c>
      <c r="B453" s="33" t="s">
        <v>1172</v>
      </c>
      <c r="C453" s="33" t="s">
        <v>43</v>
      </c>
      <c r="D453" s="33" t="s">
        <v>1465</v>
      </c>
      <c r="E453" s="33" t="s">
        <v>1496</v>
      </c>
      <c r="F453" s="33" t="s">
        <v>1557</v>
      </c>
      <c r="G453" s="33">
        <v>1</v>
      </c>
      <c r="H453" s="33"/>
      <c r="I453" s="33"/>
      <c r="J453" s="33">
        <v>10300000</v>
      </c>
      <c r="K453" s="33"/>
    </row>
    <row r="454" spans="1:11" x14ac:dyDescent="0.25">
      <c r="A454" s="33">
        <v>496</v>
      </c>
      <c r="B454" s="33" t="s">
        <v>1211</v>
      </c>
      <c r="C454" s="33" t="s">
        <v>314</v>
      </c>
      <c r="D454" s="33" t="s">
        <v>1465</v>
      </c>
      <c r="E454" s="33" t="s">
        <v>1510</v>
      </c>
      <c r="F454" s="33" t="s">
        <v>1562</v>
      </c>
      <c r="G454" s="33">
        <v>1</v>
      </c>
      <c r="H454" s="33"/>
      <c r="I454" s="33"/>
      <c r="J454" s="33">
        <v>588490</v>
      </c>
      <c r="K454" s="33"/>
    </row>
    <row r="455" spans="1:11" x14ac:dyDescent="0.25">
      <c r="A455" s="32">
        <v>499</v>
      </c>
      <c r="B455" s="32" t="s">
        <v>1147</v>
      </c>
      <c r="C455" s="32" t="s">
        <v>1148</v>
      </c>
      <c r="D455" s="32" t="s">
        <v>1463</v>
      </c>
      <c r="E455" s="32"/>
      <c r="F455" s="32"/>
      <c r="G455" s="32"/>
      <c r="H455" s="32"/>
      <c r="I455" s="32"/>
      <c r="J455" s="32">
        <v>0</v>
      </c>
      <c r="K455" s="32" t="s">
        <v>1464</v>
      </c>
    </row>
    <row r="456" spans="1:11" x14ac:dyDescent="0.25">
      <c r="A456" s="33">
        <v>500</v>
      </c>
      <c r="B456" s="33" t="s">
        <v>20</v>
      </c>
      <c r="C456" s="33" t="s">
        <v>21</v>
      </c>
      <c r="D456" s="33" t="s">
        <v>1465</v>
      </c>
      <c r="E456" s="33" t="s">
        <v>1466</v>
      </c>
      <c r="F456" s="33" t="s">
        <v>1467</v>
      </c>
      <c r="G456" s="33">
        <v>1</v>
      </c>
      <c r="H456" s="33"/>
      <c r="I456" s="33"/>
      <c r="J456" s="33">
        <v>15807.93</v>
      </c>
      <c r="K456" s="33"/>
    </row>
    <row r="457" spans="1:11" x14ac:dyDescent="0.25">
      <c r="A457" s="32">
        <v>501</v>
      </c>
      <c r="B457" s="32" t="s">
        <v>26</v>
      </c>
      <c r="C457" s="32" t="s">
        <v>21</v>
      </c>
      <c r="D457" s="32" t="s">
        <v>1468</v>
      </c>
      <c r="E457" s="32"/>
      <c r="F457" s="32"/>
      <c r="G457" s="32"/>
      <c r="H457" s="32"/>
      <c r="I457" s="32"/>
      <c r="J457" s="32">
        <v>0</v>
      </c>
      <c r="K457" s="32" t="s">
        <v>1469</v>
      </c>
    </row>
    <row r="458" spans="1:11" x14ac:dyDescent="0.25">
      <c r="A458" s="33">
        <v>502</v>
      </c>
      <c r="B458" s="33" t="s">
        <v>159</v>
      </c>
      <c r="C458" s="33" t="s">
        <v>32</v>
      </c>
      <c r="D458" s="33" t="s">
        <v>1465</v>
      </c>
      <c r="E458" s="33" t="s">
        <v>1470</v>
      </c>
      <c r="F458" s="33" t="s">
        <v>1486</v>
      </c>
      <c r="G458" s="33">
        <v>1</v>
      </c>
      <c r="H458" s="33"/>
      <c r="I458" s="33"/>
      <c r="J458" s="33">
        <v>45270</v>
      </c>
      <c r="K458" s="33"/>
    </row>
    <row r="459" spans="1:11" x14ac:dyDescent="0.25">
      <c r="A459" s="33">
        <v>503</v>
      </c>
      <c r="B459" s="33" t="s">
        <v>215</v>
      </c>
      <c r="C459" s="33" t="s">
        <v>32</v>
      </c>
      <c r="D459" s="33" t="s">
        <v>1465</v>
      </c>
      <c r="E459" s="33" t="s">
        <v>1470</v>
      </c>
      <c r="F459" s="33" t="s">
        <v>1494</v>
      </c>
      <c r="G459" s="33">
        <v>1</v>
      </c>
      <c r="H459" s="33"/>
      <c r="I459" s="33"/>
      <c r="J459" s="33">
        <v>3200</v>
      </c>
      <c r="K459" s="33"/>
    </row>
    <row r="460" spans="1:11" x14ac:dyDescent="0.25">
      <c r="A460" s="33">
        <v>504</v>
      </c>
      <c r="B460" s="33" t="s">
        <v>164</v>
      </c>
      <c r="C460" s="33" t="s">
        <v>32</v>
      </c>
      <c r="D460" s="33" t="s">
        <v>1465</v>
      </c>
      <c r="E460" s="33" t="s">
        <v>1470</v>
      </c>
      <c r="F460" s="33" t="s">
        <v>1487</v>
      </c>
      <c r="G460" s="33">
        <v>1</v>
      </c>
      <c r="H460" s="33"/>
      <c r="I460" s="33"/>
      <c r="J460" s="33">
        <v>52621.06</v>
      </c>
      <c r="K460" s="33"/>
    </row>
    <row r="461" spans="1:11" x14ac:dyDescent="0.25">
      <c r="A461" s="33">
        <v>505</v>
      </c>
      <c r="B461" s="33" t="s">
        <v>1167</v>
      </c>
      <c r="C461" s="33" t="s">
        <v>60</v>
      </c>
      <c r="D461" s="33" t="s">
        <v>1465</v>
      </c>
      <c r="E461" s="33" t="s">
        <v>1474</v>
      </c>
      <c r="F461" s="33" t="s">
        <v>1556</v>
      </c>
      <c r="G461" s="33">
        <v>1</v>
      </c>
      <c r="H461" s="33"/>
      <c r="I461" s="33"/>
      <c r="J461" s="33">
        <v>280000</v>
      </c>
      <c r="K461" s="33"/>
    </row>
    <row r="462" spans="1:11" x14ac:dyDescent="0.25">
      <c r="A462" s="33">
        <v>506</v>
      </c>
      <c r="B462" s="33" t="s">
        <v>1172</v>
      </c>
      <c r="C462" s="33" t="s">
        <v>43</v>
      </c>
      <c r="D462" s="33" t="s">
        <v>1465</v>
      </c>
      <c r="E462" s="33" t="s">
        <v>1496</v>
      </c>
      <c r="F462" s="33" t="s">
        <v>1557</v>
      </c>
      <c r="G462" s="33">
        <v>1</v>
      </c>
      <c r="H462" s="33"/>
      <c r="I462" s="33"/>
      <c r="J462" s="33">
        <v>10300000</v>
      </c>
      <c r="K462" s="33"/>
    </row>
    <row r="463" spans="1:11" x14ac:dyDescent="0.25">
      <c r="A463" s="33">
        <v>507</v>
      </c>
      <c r="B463" s="33" t="s">
        <v>1176</v>
      </c>
      <c r="C463" s="33" t="s">
        <v>314</v>
      </c>
      <c r="D463" s="33" t="s">
        <v>1465</v>
      </c>
      <c r="E463" s="33" t="s">
        <v>1510</v>
      </c>
      <c r="F463" s="33" t="s">
        <v>1558</v>
      </c>
      <c r="G463" s="33">
        <v>1</v>
      </c>
      <c r="H463" s="33"/>
      <c r="I463" s="33"/>
      <c r="J463" s="33">
        <v>915315</v>
      </c>
      <c r="K463" s="33"/>
    </row>
    <row r="464" spans="1:11" x14ac:dyDescent="0.25">
      <c r="A464" s="33">
        <v>508</v>
      </c>
      <c r="B464" s="33" t="s">
        <v>1179</v>
      </c>
      <c r="C464" s="33" t="s">
        <v>314</v>
      </c>
      <c r="D464" s="33" t="s">
        <v>1465</v>
      </c>
      <c r="E464" s="33" t="s">
        <v>1510</v>
      </c>
      <c r="F464" s="33" t="s">
        <v>1559</v>
      </c>
      <c r="G464" s="33">
        <v>1</v>
      </c>
      <c r="H464" s="33"/>
      <c r="I464" s="33"/>
      <c r="J464" s="33">
        <v>1087874</v>
      </c>
      <c r="K464" s="33"/>
    </row>
    <row r="465" spans="1:11" x14ac:dyDescent="0.25">
      <c r="A465" s="33">
        <v>509</v>
      </c>
      <c r="B465" s="33" t="s">
        <v>1182</v>
      </c>
      <c r="C465" s="33" t="s">
        <v>314</v>
      </c>
      <c r="D465" s="33" t="s">
        <v>1465</v>
      </c>
      <c r="E465" s="33" t="s">
        <v>1510</v>
      </c>
      <c r="F465" s="33" t="s">
        <v>1560</v>
      </c>
      <c r="G465" s="33">
        <v>1</v>
      </c>
      <c r="H465" s="33"/>
      <c r="I465" s="33"/>
      <c r="J465" s="33">
        <v>1064798</v>
      </c>
      <c r="K465" s="33"/>
    </row>
    <row r="466" spans="1:11" x14ac:dyDescent="0.25">
      <c r="A466" s="33">
        <v>510</v>
      </c>
      <c r="B466" s="33" t="s">
        <v>1185</v>
      </c>
      <c r="C466" s="33" t="s">
        <v>314</v>
      </c>
      <c r="D466" s="33" t="s">
        <v>1465</v>
      </c>
      <c r="E466" s="33" t="s">
        <v>1510</v>
      </c>
      <c r="F466" s="33" t="s">
        <v>1561</v>
      </c>
      <c r="G466" s="33">
        <v>1</v>
      </c>
      <c r="H466" s="33"/>
      <c r="I466" s="33"/>
      <c r="J466" s="33">
        <v>1212733</v>
      </c>
      <c r="K466" s="33"/>
    </row>
    <row r="467" spans="1:11" x14ac:dyDescent="0.25">
      <c r="A467" s="32">
        <v>511</v>
      </c>
      <c r="B467" s="32" t="s">
        <v>1188</v>
      </c>
      <c r="C467" s="32" t="s">
        <v>1148</v>
      </c>
      <c r="D467" s="32" t="s">
        <v>1463</v>
      </c>
      <c r="E467" s="32"/>
      <c r="F467" s="32"/>
      <c r="G467" s="32"/>
      <c r="H467" s="32"/>
      <c r="I467" s="32"/>
      <c r="J467" s="32">
        <v>0</v>
      </c>
      <c r="K467" s="32" t="s">
        <v>1464</v>
      </c>
    </row>
    <row r="468" spans="1:11" x14ac:dyDescent="0.25">
      <c r="A468" s="33">
        <v>512</v>
      </c>
      <c r="B468" s="33" t="s">
        <v>20</v>
      </c>
      <c r="C468" s="33" t="s">
        <v>21</v>
      </c>
      <c r="D468" s="33" t="s">
        <v>1465</v>
      </c>
      <c r="E468" s="33" t="s">
        <v>1466</v>
      </c>
      <c r="F468" s="33" t="s">
        <v>1467</v>
      </c>
      <c r="G468" s="33">
        <v>1</v>
      </c>
      <c r="H468" s="33"/>
      <c r="I468" s="33"/>
      <c r="J468" s="33">
        <v>15807.93</v>
      </c>
      <c r="K468" s="33"/>
    </row>
    <row r="469" spans="1:11" x14ac:dyDescent="0.25">
      <c r="A469" s="32">
        <v>513</v>
      </c>
      <c r="B469" s="32" t="s">
        <v>26</v>
      </c>
      <c r="C469" s="32" t="s">
        <v>21</v>
      </c>
      <c r="D469" s="32" t="s">
        <v>1468</v>
      </c>
      <c r="E469" s="32"/>
      <c r="F469" s="32"/>
      <c r="G469" s="32"/>
      <c r="H469" s="32"/>
      <c r="I469" s="32"/>
      <c r="J469" s="32">
        <v>0</v>
      </c>
      <c r="K469" s="32" t="s">
        <v>1469</v>
      </c>
    </row>
    <row r="470" spans="1:11" x14ac:dyDescent="0.25">
      <c r="A470" s="33">
        <v>514</v>
      </c>
      <c r="B470" s="33" t="s">
        <v>159</v>
      </c>
      <c r="C470" s="33" t="s">
        <v>32</v>
      </c>
      <c r="D470" s="33" t="s">
        <v>1465</v>
      </c>
      <c r="E470" s="33" t="s">
        <v>1470</v>
      </c>
      <c r="F470" s="33" t="s">
        <v>1486</v>
      </c>
      <c r="G470" s="33">
        <v>1</v>
      </c>
      <c r="H470" s="33"/>
      <c r="I470" s="33"/>
      <c r="J470" s="33">
        <v>45270</v>
      </c>
      <c r="K470" s="33"/>
    </row>
    <row r="471" spans="1:11" x14ac:dyDescent="0.25">
      <c r="A471" s="33">
        <v>515</v>
      </c>
      <c r="B471" s="33" t="s">
        <v>215</v>
      </c>
      <c r="C471" s="33" t="s">
        <v>32</v>
      </c>
      <c r="D471" s="33" t="s">
        <v>1465</v>
      </c>
      <c r="E471" s="33" t="s">
        <v>1470</v>
      </c>
      <c r="F471" s="33" t="s">
        <v>1494</v>
      </c>
      <c r="G471" s="33">
        <v>1</v>
      </c>
      <c r="H471" s="33"/>
      <c r="I471" s="33"/>
      <c r="J471" s="33">
        <v>3200</v>
      </c>
      <c r="K471" s="33"/>
    </row>
    <row r="472" spans="1:11" x14ac:dyDescent="0.25">
      <c r="A472" s="33">
        <v>516</v>
      </c>
      <c r="B472" s="33" t="s">
        <v>164</v>
      </c>
      <c r="C472" s="33" t="s">
        <v>32</v>
      </c>
      <c r="D472" s="33" t="s">
        <v>1465</v>
      </c>
      <c r="E472" s="33" t="s">
        <v>1470</v>
      </c>
      <c r="F472" s="33" t="s">
        <v>1487</v>
      </c>
      <c r="G472" s="33">
        <v>1</v>
      </c>
      <c r="H472" s="33"/>
      <c r="I472" s="33"/>
      <c r="J472" s="33">
        <v>52621.06</v>
      </c>
      <c r="K472" s="33"/>
    </row>
    <row r="473" spans="1:11" x14ac:dyDescent="0.25">
      <c r="A473" s="33">
        <v>517</v>
      </c>
      <c r="B473" s="33" t="s">
        <v>1167</v>
      </c>
      <c r="C473" s="33" t="s">
        <v>60</v>
      </c>
      <c r="D473" s="33" t="s">
        <v>1465</v>
      </c>
      <c r="E473" s="33" t="s">
        <v>1474</v>
      </c>
      <c r="F473" s="33" t="s">
        <v>1556</v>
      </c>
      <c r="G473" s="33">
        <v>1</v>
      </c>
      <c r="H473" s="33"/>
      <c r="I473" s="33"/>
      <c r="J473" s="33">
        <v>280000</v>
      </c>
      <c r="K473" s="33"/>
    </row>
    <row r="474" spans="1:11" x14ac:dyDescent="0.25">
      <c r="A474" s="33">
        <v>518</v>
      </c>
      <c r="B474" s="33" t="s">
        <v>1172</v>
      </c>
      <c r="C474" s="33" t="s">
        <v>43</v>
      </c>
      <c r="D474" s="33" t="s">
        <v>1465</v>
      </c>
      <c r="E474" s="33" t="s">
        <v>1496</v>
      </c>
      <c r="F474" s="33" t="s">
        <v>1557</v>
      </c>
      <c r="G474" s="33">
        <v>1</v>
      </c>
      <c r="H474" s="33"/>
      <c r="I474" s="33"/>
      <c r="J474" s="33">
        <v>10300000</v>
      </c>
      <c r="K474" s="33"/>
    </row>
    <row r="475" spans="1:11" x14ac:dyDescent="0.25">
      <c r="A475" s="33">
        <v>519</v>
      </c>
      <c r="B475" s="33" t="s">
        <v>1211</v>
      </c>
      <c r="C475" s="33" t="s">
        <v>314</v>
      </c>
      <c r="D475" s="33" t="s">
        <v>1465</v>
      </c>
      <c r="E475" s="33" t="s">
        <v>1510</v>
      </c>
      <c r="F475" s="33" t="s">
        <v>1562</v>
      </c>
      <c r="G475" s="33">
        <v>1</v>
      </c>
      <c r="H475" s="33"/>
      <c r="I475" s="33"/>
      <c r="J475" s="33">
        <v>588490</v>
      </c>
      <c r="K475" s="33"/>
    </row>
    <row r="476" spans="1:11" x14ac:dyDescent="0.25">
      <c r="A476" s="32">
        <v>522</v>
      </c>
      <c r="B476" s="32" t="s">
        <v>1245</v>
      </c>
      <c r="C476" s="32" t="s">
        <v>118</v>
      </c>
      <c r="D476" s="32" t="s">
        <v>1463</v>
      </c>
      <c r="E476" s="32"/>
      <c r="F476" s="32"/>
      <c r="G476" s="32"/>
      <c r="H476" s="32"/>
      <c r="I476" s="32"/>
      <c r="J476" s="32">
        <v>0</v>
      </c>
      <c r="K476" s="32" t="s">
        <v>1464</v>
      </c>
    </row>
    <row r="477" spans="1:11" x14ac:dyDescent="0.25">
      <c r="A477" s="33">
        <v>523</v>
      </c>
      <c r="B477" s="33" t="s">
        <v>20</v>
      </c>
      <c r="C477" s="33" t="s">
        <v>21</v>
      </c>
      <c r="D477" s="33" t="s">
        <v>1465</v>
      </c>
      <c r="E477" s="33" t="s">
        <v>1466</v>
      </c>
      <c r="F477" s="33" t="s">
        <v>1467</v>
      </c>
      <c r="G477" s="33">
        <v>1</v>
      </c>
      <c r="H477" s="33"/>
      <c r="I477" s="33"/>
      <c r="J477" s="33">
        <v>15807.93</v>
      </c>
      <c r="K477" s="33"/>
    </row>
    <row r="478" spans="1:11" x14ac:dyDescent="0.25">
      <c r="A478" s="32">
        <v>524</v>
      </c>
      <c r="B478" s="32" t="s">
        <v>26</v>
      </c>
      <c r="C478" s="32" t="s">
        <v>21</v>
      </c>
      <c r="D478" s="32" t="s">
        <v>1468</v>
      </c>
      <c r="E478" s="32"/>
      <c r="F478" s="32"/>
      <c r="G478" s="32"/>
      <c r="H478" s="32"/>
      <c r="I478" s="32"/>
      <c r="J478" s="32">
        <v>0</v>
      </c>
      <c r="K478" s="32" t="s">
        <v>1469</v>
      </c>
    </row>
    <row r="479" spans="1:11" x14ac:dyDescent="0.25">
      <c r="A479" s="33">
        <v>525</v>
      </c>
      <c r="B479" s="33" t="s">
        <v>194</v>
      </c>
      <c r="C479" s="33" t="s">
        <v>32</v>
      </c>
      <c r="D479" s="33" t="s">
        <v>1465</v>
      </c>
      <c r="E479" s="33" t="s">
        <v>1470</v>
      </c>
      <c r="F479" s="33" t="s">
        <v>1491</v>
      </c>
      <c r="G479" s="33">
        <v>1</v>
      </c>
      <c r="H479" s="33"/>
      <c r="I479" s="33"/>
      <c r="J479" s="33">
        <v>54800</v>
      </c>
      <c r="K479" s="33"/>
    </row>
    <row r="480" spans="1:11" x14ac:dyDescent="0.25">
      <c r="A480" s="33">
        <v>526</v>
      </c>
      <c r="B480" s="33" t="s">
        <v>154</v>
      </c>
      <c r="C480" s="33" t="s">
        <v>32</v>
      </c>
      <c r="D480" s="33" t="s">
        <v>1465</v>
      </c>
      <c r="E480" s="33" t="s">
        <v>1470</v>
      </c>
      <c r="F480" s="33" t="s">
        <v>1485</v>
      </c>
      <c r="G480" s="33">
        <v>1</v>
      </c>
      <c r="H480" s="33"/>
      <c r="I480" s="33"/>
      <c r="J480" s="33">
        <v>580</v>
      </c>
      <c r="K480" s="33"/>
    </row>
    <row r="481" spans="1:11" x14ac:dyDescent="0.25">
      <c r="A481" s="33">
        <v>527</v>
      </c>
      <c r="B481" s="33" t="s">
        <v>159</v>
      </c>
      <c r="C481" s="33" t="s">
        <v>32</v>
      </c>
      <c r="D481" s="33" t="s">
        <v>1465</v>
      </c>
      <c r="E481" s="33" t="s">
        <v>1470</v>
      </c>
      <c r="F481" s="33" t="s">
        <v>1486</v>
      </c>
      <c r="G481" s="33">
        <v>1</v>
      </c>
      <c r="H481" s="33"/>
      <c r="I481" s="33"/>
      <c r="J481" s="33">
        <v>45270</v>
      </c>
      <c r="K481" s="33"/>
    </row>
    <row r="482" spans="1:11" x14ac:dyDescent="0.25">
      <c r="A482" s="33">
        <v>528</v>
      </c>
      <c r="B482" s="33" t="s">
        <v>205</v>
      </c>
      <c r="C482" s="33" t="s">
        <v>32</v>
      </c>
      <c r="D482" s="33" t="s">
        <v>1465</v>
      </c>
      <c r="E482" s="33" t="s">
        <v>1470</v>
      </c>
      <c r="F482" s="33" t="s">
        <v>1492</v>
      </c>
      <c r="G482" s="33">
        <v>1</v>
      </c>
      <c r="H482" s="33"/>
      <c r="I482" s="33"/>
      <c r="J482" s="33">
        <v>102000</v>
      </c>
      <c r="K482" s="33"/>
    </row>
    <row r="483" spans="1:11" x14ac:dyDescent="0.25">
      <c r="A483" s="33">
        <v>529</v>
      </c>
      <c r="B483" s="33" t="s">
        <v>210</v>
      </c>
      <c r="C483" s="33" t="s">
        <v>32</v>
      </c>
      <c r="D483" s="33" t="s">
        <v>1465</v>
      </c>
      <c r="E483" s="33" t="s">
        <v>1470</v>
      </c>
      <c r="F483" s="33" t="s">
        <v>1493</v>
      </c>
      <c r="G483" s="33">
        <v>1</v>
      </c>
      <c r="H483" s="33"/>
      <c r="I483" s="33"/>
      <c r="J483" s="33">
        <v>873</v>
      </c>
      <c r="K483" s="33"/>
    </row>
    <row r="484" spans="1:11" x14ac:dyDescent="0.25">
      <c r="A484" s="33">
        <v>530</v>
      </c>
      <c r="B484" s="33" t="s">
        <v>215</v>
      </c>
      <c r="C484" s="33" t="s">
        <v>32</v>
      </c>
      <c r="D484" s="33" t="s">
        <v>1465</v>
      </c>
      <c r="E484" s="33" t="s">
        <v>1470</v>
      </c>
      <c r="F484" s="33" t="s">
        <v>1494</v>
      </c>
      <c r="G484" s="33">
        <v>1</v>
      </c>
      <c r="H484" s="33"/>
      <c r="I484" s="33"/>
      <c r="J484" s="33">
        <v>3200</v>
      </c>
      <c r="K484" s="33"/>
    </row>
    <row r="485" spans="1:11" x14ac:dyDescent="0.25">
      <c r="A485" s="33">
        <v>531</v>
      </c>
      <c r="B485" s="33" t="s">
        <v>164</v>
      </c>
      <c r="C485" s="33" t="s">
        <v>32</v>
      </c>
      <c r="D485" s="33" t="s">
        <v>1465</v>
      </c>
      <c r="E485" s="33" t="s">
        <v>1470</v>
      </c>
      <c r="F485" s="33" t="s">
        <v>1487</v>
      </c>
      <c r="G485" s="33">
        <v>1</v>
      </c>
      <c r="H485" s="33"/>
      <c r="I485" s="33"/>
      <c r="J485" s="33">
        <v>52621.06</v>
      </c>
      <c r="K485" s="33"/>
    </row>
    <row r="486" spans="1:11" x14ac:dyDescent="0.25">
      <c r="A486" s="33">
        <v>532</v>
      </c>
      <c r="B486" s="33" t="s">
        <v>105</v>
      </c>
      <c r="C486" s="33" t="s">
        <v>60</v>
      </c>
      <c r="D486" s="33" t="s">
        <v>1465</v>
      </c>
      <c r="E486" s="33" t="s">
        <v>1474</v>
      </c>
      <c r="F486" s="33" t="s">
        <v>1482</v>
      </c>
      <c r="G486" s="33">
        <v>1</v>
      </c>
      <c r="H486" s="33"/>
      <c r="I486" s="33"/>
      <c r="J486" s="33">
        <v>0</v>
      </c>
      <c r="K486" s="33"/>
    </row>
    <row r="487" spans="1:11" x14ac:dyDescent="0.25">
      <c r="A487" s="33">
        <v>533</v>
      </c>
      <c r="B487" s="33" t="s">
        <v>719</v>
      </c>
      <c r="C487" s="33" t="s">
        <v>60</v>
      </c>
      <c r="D487" s="33" t="s">
        <v>1465</v>
      </c>
      <c r="E487" s="33" t="s">
        <v>1474</v>
      </c>
      <c r="F487" s="33" t="s">
        <v>1540</v>
      </c>
      <c r="G487" s="33">
        <v>1</v>
      </c>
      <c r="H487" s="33"/>
      <c r="I487" s="33"/>
      <c r="J487" s="33">
        <v>490000</v>
      </c>
      <c r="K487" s="33"/>
    </row>
    <row r="488" spans="1:11" x14ac:dyDescent="0.25">
      <c r="A488" s="33">
        <v>534</v>
      </c>
      <c r="B488" s="33" t="s">
        <v>545</v>
      </c>
      <c r="C488" s="33" t="s">
        <v>43</v>
      </c>
      <c r="D488" s="33" t="s">
        <v>1465</v>
      </c>
      <c r="E488" s="33" t="s">
        <v>1496</v>
      </c>
      <c r="F488" s="33" t="s">
        <v>1524</v>
      </c>
      <c r="G488" s="33">
        <v>1</v>
      </c>
      <c r="H488" s="33"/>
      <c r="I488" s="33"/>
      <c r="J488" s="33">
        <v>13000000</v>
      </c>
      <c r="K488" s="33"/>
    </row>
    <row r="489" spans="1:11" x14ac:dyDescent="0.25">
      <c r="A489" s="33">
        <v>535</v>
      </c>
      <c r="B489" s="33" t="s">
        <v>231</v>
      </c>
      <c r="C489" s="33" t="s">
        <v>43</v>
      </c>
      <c r="D489" s="33" t="s">
        <v>1465</v>
      </c>
      <c r="E489" s="33" t="s">
        <v>1496</v>
      </c>
      <c r="F489" s="33" t="s">
        <v>1497</v>
      </c>
      <c r="G489" s="33">
        <v>1</v>
      </c>
      <c r="H489" s="33"/>
      <c r="I489" s="33"/>
      <c r="J489" s="33">
        <v>8200000</v>
      </c>
      <c r="K489" s="33"/>
    </row>
    <row r="490" spans="1:11" x14ac:dyDescent="0.25">
      <c r="A490" s="33">
        <v>536</v>
      </c>
      <c r="B490" s="33" t="s">
        <v>236</v>
      </c>
      <c r="C490" s="33" t="s">
        <v>43</v>
      </c>
      <c r="D490" s="33" t="s">
        <v>1465</v>
      </c>
      <c r="E490" s="33" t="s">
        <v>1496</v>
      </c>
      <c r="F490" s="33" t="s">
        <v>1498</v>
      </c>
      <c r="G490" s="33">
        <v>1</v>
      </c>
      <c r="H490" s="33"/>
      <c r="I490" s="33"/>
      <c r="J490" s="33">
        <v>650000</v>
      </c>
      <c r="K490" s="33"/>
    </row>
    <row r="491" spans="1:11" x14ac:dyDescent="0.25">
      <c r="A491" s="33">
        <v>537</v>
      </c>
      <c r="B491" s="33" t="s">
        <v>246</v>
      </c>
      <c r="C491" s="33" t="s">
        <v>43</v>
      </c>
      <c r="D491" s="33" t="s">
        <v>1465</v>
      </c>
      <c r="E491" s="33" t="s">
        <v>1496</v>
      </c>
      <c r="F491" s="33" t="s">
        <v>1500</v>
      </c>
      <c r="G491" s="33">
        <v>1</v>
      </c>
      <c r="H491" s="33"/>
      <c r="I491" s="33"/>
      <c r="J491" s="33">
        <v>10300000</v>
      </c>
      <c r="K491" s="33"/>
    </row>
    <row r="492" spans="1:11" x14ac:dyDescent="0.25">
      <c r="A492" s="33">
        <v>538</v>
      </c>
      <c r="B492" s="33" t="s">
        <v>557</v>
      </c>
      <c r="C492" s="33" t="s">
        <v>60</v>
      </c>
      <c r="D492" s="33" t="s">
        <v>1465</v>
      </c>
      <c r="E492" s="33" t="s">
        <v>1474</v>
      </c>
      <c r="F492" s="33" t="s">
        <v>1525</v>
      </c>
      <c r="G492" s="33">
        <v>1</v>
      </c>
      <c r="H492" s="33"/>
      <c r="I492" s="33"/>
      <c r="J492" s="33">
        <v>2000000</v>
      </c>
      <c r="K492" s="33"/>
    </row>
    <row r="493" spans="1:11" x14ac:dyDescent="0.25">
      <c r="A493" s="33">
        <v>539</v>
      </c>
      <c r="B493" s="33" t="s">
        <v>254</v>
      </c>
      <c r="C493" s="33" t="s">
        <v>60</v>
      </c>
      <c r="D493" s="33" t="s">
        <v>1465</v>
      </c>
      <c r="E493" s="33" t="s">
        <v>1474</v>
      </c>
      <c r="F493" s="33" t="s">
        <v>1501</v>
      </c>
      <c r="G493" s="33">
        <v>1</v>
      </c>
      <c r="H493" s="33"/>
      <c r="I493" s="33"/>
      <c r="J493" s="33">
        <v>2000000</v>
      </c>
      <c r="K493" s="33"/>
    </row>
    <row r="494" spans="1:11" x14ac:dyDescent="0.25">
      <c r="A494" s="33">
        <v>540</v>
      </c>
      <c r="B494" s="33" t="s">
        <v>564</v>
      </c>
      <c r="C494" s="33" t="s">
        <v>179</v>
      </c>
      <c r="D494" s="33" t="s">
        <v>1465</v>
      </c>
      <c r="E494" s="33" t="s">
        <v>1489</v>
      </c>
      <c r="F494" s="33" t="s">
        <v>1526</v>
      </c>
      <c r="G494" s="33">
        <v>1</v>
      </c>
      <c r="H494" s="33"/>
      <c r="I494" s="33"/>
      <c r="J494" s="33">
        <v>25000</v>
      </c>
      <c r="K494" s="33"/>
    </row>
    <row r="495" spans="1:11" x14ac:dyDescent="0.25">
      <c r="A495" s="32">
        <v>541</v>
      </c>
      <c r="B495" s="32" t="s">
        <v>1297</v>
      </c>
      <c r="C495" s="32" t="s">
        <v>60</v>
      </c>
      <c r="D495" s="32" t="s">
        <v>1463</v>
      </c>
      <c r="E495" s="32"/>
      <c r="F495" s="32"/>
      <c r="G495" s="32"/>
      <c r="H495" s="32"/>
      <c r="I495" s="32"/>
      <c r="J495" s="32">
        <v>0</v>
      </c>
      <c r="K495" s="32" t="s">
        <v>1464</v>
      </c>
    </row>
    <row r="496" spans="1:11" x14ac:dyDescent="0.25">
      <c r="A496" s="33">
        <v>542</v>
      </c>
      <c r="B496" s="33" t="s">
        <v>20</v>
      </c>
      <c r="C496" s="33" t="s">
        <v>21</v>
      </c>
      <c r="D496" s="33" t="s">
        <v>1465</v>
      </c>
      <c r="E496" s="33" t="s">
        <v>1466</v>
      </c>
      <c r="F496" s="33" t="s">
        <v>1467</v>
      </c>
      <c r="G496" s="33">
        <v>1</v>
      </c>
      <c r="H496" s="33"/>
      <c r="I496" s="33"/>
      <c r="J496" s="33">
        <v>15807.93</v>
      </c>
      <c r="K496" s="33"/>
    </row>
    <row r="497" spans="1:11" x14ac:dyDescent="0.25">
      <c r="A497" s="32">
        <v>543</v>
      </c>
      <c r="B497" s="32" t="s">
        <v>26</v>
      </c>
      <c r="C497" s="32" t="s">
        <v>21</v>
      </c>
      <c r="D497" s="32" t="s">
        <v>1468</v>
      </c>
      <c r="E497" s="32"/>
      <c r="F497" s="32"/>
      <c r="G497" s="32"/>
      <c r="H497" s="32"/>
      <c r="I497" s="32"/>
      <c r="J497" s="32">
        <v>0</v>
      </c>
      <c r="K497" s="32" t="s">
        <v>1469</v>
      </c>
    </row>
    <row r="498" spans="1:11" x14ac:dyDescent="0.25">
      <c r="A498" s="33">
        <v>544</v>
      </c>
      <c r="B498" s="33" t="s">
        <v>1306</v>
      </c>
      <c r="C498" s="33" t="s">
        <v>32</v>
      </c>
      <c r="D498" s="33" t="s">
        <v>1465</v>
      </c>
      <c r="E498" s="33" t="s">
        <v>1470</v>
      </c>
      <c r="F498" s="33" t="s">
        <v>1563</v>
      </c>
      <c r="G498" s="33">
        <v>1</v>
      </c>
      <c r="H498" s="33"/>
      <c r="I498" s="33"/>
      <c r="J498" s="33">
        <v>661.24</v>
      </c>
      <c r="K498" s="33"/>
    </row>
    <row r="499" spans="1:11" x14ac:dyDescent="0.25">
      <c r="A499" s="33">
        <v>545</v>
      </c>
      <c r="B499" s="33" t="s">
        <v>205</v>
      </c>
      <c r="C499" s="33" t="s">
        <v>32</v>
      </c>
      <c r="D499" s="33" t="s">
        <v>1465</v>
      </c>
      <c r="E499" s="33" t="s">
        <v>1470</v>
      </c>
      <c r="F499" s="33" t="s">
        <v>1492</v>
      </c>
      <c r="G499" s="33">
        <v>1</v>
      </c>
      <c r="H499" s="33"/>
      <c r="I499" s="33"/>
      <c r="J499" s="33">
        <v>102000</v>
      </c>
      <c r="K499" s="33"/>
    </row>
    <row r="500" spans="1:11" x14ac:dyDescent="0.25">
      <c r="A500" s="33">
        <v>546</v>
      </c>
      <c r="B500" s="33" t="s">
        <v>164</v>
      </c>
      <c r="C500" s="33" t="s">
        <v>32</v>
      </c>
      <c r="D500" s="33" t="s">
        <v>1465</v>
      </c>
      <c r="E500" s="33" t="s">
        <v>1470</v>
      </c>
      <c r="F500" s="33" t="s">
        <v>1487</v>
      </c>
      <c r="G500" s="33">
        <v>1</v>
      </c>
      <c r="H500" s="33"/>
      <c r="I500" s="33"/>
      <c r="J500" s="33">
        <v>52621.06</v>
      </c>
      <c r="K500" s="33"/>
    </row>
    <row r="501" spans="1:11" x14ac:dyDescent="0.25">
      <c r="A501" s="33">
        <v>547</v>
      </c>
      <c r="B501" s="33" t="s">
        <v>105</v>
      </c>
      <c r="C501" s="33" t="s">
        <v>60</v>
      </c>
      <c r="D501" s="33" t="s">
        <v>1465</v>
      </c>
      <c r="E501" s="33" t="s">
        <v>1474</v>
      </c>
      <c r="F501" s="33" t="s">
        <v>1482</v>
      </c>
      <c r="G501" s="33">
        <v>1</v>
      </c>
      <c r="H501" s="33"/>
      <c r="I501" s="33"/>
      <c r="J501" s="33">
        <v>0</v>
      </c>
      <c r="K501" s="33"/>
    </row>
    <row r="502" spans="1:11" x14ac:dyDescent="0.25">
      <c r="A502" s="33">
        <v>548</v>
      </c>
      <c r="B502" s="33" t="s">
        <v>1318</v>
      </c>
      <c r="C502" s="33" t="s">
        <v>320</v>
      </c>
      <c r="D502" s="33" t="s">
        <v>1465</v>
      </c>
      <c r="E502" s="33" t="s">
        <v>1512</v>
      </c>
      <c r="F502" s="33" t="s">
        <v>1564</v>
      </c>
      <c r="G502" s="33">
        <v>1</v>
      </c>
      <c r="H502" s="33"/>
      <c r="I502" s="33"/>
      <c r="J502" s="33">
        <v>950</v>
      </c>
      <c r="K502" s="33"/>
    </row>
    <row r="503" spans="1:11" x14ac:dyDescent="0.25">
      <c r="A503" s="33">
        <v>549</v>
      </c>
      <c r="B503" s="33" t="s">
        <v>1322</v>
      </c>
      <c r="C503" s="33" t="s">
        <v>60</v>
      </c>
      <c r="D503" s="33" t="s">
        <v>1465</v>
      </c>
      <c r="E503" s="33" t="s">
        <v>1474</v>
      </c>
      <c r="F503" s="33" t="s">
        <v>1565</v>
      </c>
      <c r="G503" s="33">
        <v>1</v>
      </c>
      <c r="H503" s="33"/>
      <c r="I503" s="33"/>
      <c r="J503" s="33">
        <v>460000</v>
      </c>
      <c r="K503" s="33"/>
    </row>
    <row r="504" spans="1:11" x14ac:dyDescent="0.25">
      <c r="A504" s="32">
        <v>550</v>
      </c>
      <c r="B504" s="32" t="s">
        <v>1327</v>
      </c>
      <c r="C504" s="32" t="s">
        <v>605</v>
      </c>
      <c r="D504" s="32" t="s">
        <v>1463</v>
      </c>
      <c r="E504" s="32"/>
      <c r="F504" s="32"/>
      <c r="G504" s="32"/>
      <c r="H504" s="32"/>
      <c r="I504" s="32"/>
      <c r="J504" s="32">
        <v>0</v>
      </c>
      <c r="K504" s="32" t="s">
        <v>1464</v>
      </c>
    </row>
    <row r="505" spans="1:11" x14ac:dyDescent="0.25">
      <c r="A505" s="33">
        <v>551</v>
      </c>
      <c r="B505" s="33" t="s">
        <v>20</v>
      </c>
      <c r="C505" s="33" t="s">
        <v>21</v>
      </c>
      <c r="D505" s="33" t="s">
        <v>1465</v>
      </c>
      <c r="E505" s="33" t="s">
        <v>1466</v>
      </c>
      <c r="F505" s="33" t="s">
        <v>1467</v>
      </c>
      <c r="G505" s="33">
        <v>1</v>
      </c>
      <c r="H505" s="33"/>
      <c r="I505" s="33"/>
      <c r="J505" s="33">
        <v>15807.93</v>
      </c>
      <c r="K505" s="33"/>
    </row>
    <row r="506" spans="1:11" x14ac:dyDescent="0.25">
      <c r="A506" s="32">
        <v>552</v>
      </c>
      <c r="B506" s="32" t="s">
        <v>26</v>
      </c>
      <c r="C506" s="32" t="s">
        <v>21</v>
      </c>
      <c r="D506" s="32" t="s">
        <v>1468</v>
      </c>
      <c r="E506" s="32"/>
      <c r="F506" s="32"/>
      <c r="G506" s="32"/>
      <c r="H506" s="32"/>
      <c r="I506" s="32"/>
      <c r="J506" s="32">
        <v>0</v>
      </c>
      <c r="K506" s="32" t="s">
        <v>1469</v>
      </c>
    </row>
    <row r="507" spans="1:11" x14ac:dyDescent="0.25">
      <c r="A507" s="33">
        <v>553</v>
      </c>
      <c r="B507" s="33" t="s">
        <v>1306</v>
      </c>
      <c r="C507" s="33" t="s">
        <v>32</v>
      </c>
      <c r="D507" s="33" t="s">
        <v>1465</v>
      </c>
      <c r="E507" s="33" t="s">
        <v>1470</v>
      </c>
      <c r="F507" s="33" t="s">
        <v>1563</v>
      </c>
      <c r="G507" s="33">
        <v>1</v>
      </c>
      <c r="H507" s="33"/>
      <c r="I507" s="33"/>
      <c r="J507" s="33">
        <v>661.24</v>
      </c>
      <c r="K507" s="33"/>
    </row>
    <row r="508" spans="1:11" x14ac:dyDescent="0.25">
      <c r="A508" s="33">
        <v>554</v>
      </c>
      <c r="B508" s="33" t="s">
        <v>205</v>
      </c>
      <c r="C508" s="33" t="s">
        <v>32</v>
      </c>
      <c r="D508" s="33" t="s">
        <v>1465</v>
      </c>
      <c r="E508" s="33" t="s">
        <v>1470</v>
      </c>
      <c r="F508" s="33" t="s">
        <v>1492</v>
      </c>
      <c r="G508" s="33">
        <v>1</v>
      </c>
      <c r="H508" s="33"/>
      <c r="I508" s="33"/>
      <c r="J508" s="33">
        <v>102000</v>
      </c>
      <c r="K508" s="33"/>
    </row>
    <row r="509" spans="1:11" x14ac:dyDescent="0.25">
      <c r="A509" s="33">
        <v>555</v>
      </c>
      <c r="B509" s="33" t="s">
        <v>164</v>
      </c>
      <c r="C509" s="33" t="s">
        <v>32</v>
      </c>
      <c r="D509" s="33" t="s">
        <v>1465</v>
      </c>
      <c r="E509" s="33" t="s">
        <v>1470</v>
      </c>
      <c r="F509" s="33" t="s">
        <v>1487</v>
      </c>
      <c r="G509" s="33">
        <v>1</v>
      </c>
      <c r="H509" s="33"/>
      <c r="I509" s="33"/>
      <c r="J509" s="33">
        <v>52621.06</v>
      </c>
      <c r="K509" s="33"/>
    </row>
    <row r="510" spans="1:11" x14ac:dyDescent="0.25">
      <c r="A510" s="33">
        <v>556</v>
      </c>
      <c r="B510" s="33" t="s">
        <v>105</v>
      </c>
      <c r="C510" s="33" t="s">
        <v>60</v>
      </c>
      <c r="D510" s="33" t="s">
        <v>1465</v>
      </c>
      <c r="E510" s="33" t="s">
        <v>1474</v>
      </c>
      <c r="F510" s="33" t="s">
        <v>1482</v>
      </c>
      <c r="G510" s="33">
        <v>1</v>
      </c>
      <c r="H510" s="33"/>
      <c r="I510" s="33"/>
      <c r="J510" s="33">
        <v>0</v>
      </c>
      <c r="K510" s="33"/>
    </row>
    <row r="511" spans="1:11" x14ac:dyDescent="0.25">
      <c r="A511" s="33">
        <v>557</v>
      </c>
      <c r="B511" s="33" t="s">
        <v>1318</v>
      </c>
      <c r="C511" s="33" t="s">
        <v>320</v>
      </c>
      <c r="D511" s="33" t="s">
        <v>1465</v>
      </c>
      <c r="E511" s="33" t="s">
        <v>1512</v>
      </c>
      <c r="F511" s="33" t="s">
        <v>1564</v>
      </c>
      <c r="G511" s="33">
        <v>1</v>
      </c>
      <c r="H511" s="33"/>
      <c r="I511" s="33"/>
      <c r="J511" s="33">
        <v>950</v>
      </c>
      <c r="K511" s="33"/>
    </row>
    <row r="512" spans="1:11" x14ac:dyDescent="0.25">
      <c r="A512" s="33">
        <v>558</v>
      </c>
      <c r="B512" s="33" t="s">
        <v>1322</v>
      </c>
      <c r="C512" s="33" t="s">
        <v>60</v>
      </c>
      <c r="D512" s="33" t="s">
        <v>1465</v>
      </c>
      <c r="E512" s="33" t="s">
        <v>1474</v>
      </c>
      <c r="F512" s="33" t="s">
        <v>1565</v>
      </c>
      <c r="G512" s="33">
        <v>1</v>
      </c>
      <c r="H512" s="33"/>
      <c r="I512" s="33"/>
      <c r="J512" s="33">
        <v>460000</v>
      </c>
      <c r="K512" s="33"/>
    </row>
    <row r="513" spans="1:11" x14ac:dyDescent="0.25">
      <c r="A513" s="32">
        <v>559</v>
      </c>
      <c r="B513" s="32" t="s">
        <v>1297</v>
      </c>
      <c r="C513" s="32" t="s">
        <v>60</v>
      </c>
      <c r="D513" s="32" t="s">
        <v>1463</v>
      </c>
      <c r="E513" s="32"/>
      <c r="F513" s="32"/>
      <c r="G513" s="32"/>
      <c r="H513" s="32"/>
      <c r="I513" s="32"/>
      <c r="J513" s="32">
        <v>0</v>
      </c>
      <c r="K513" s="32" t="s">
        <v>1464</v>
      </c>
    </row>
    <row r="514" spans="1:11" x14ac:dyDescent="0.25">
      <c r="A514" s="33">
        <v>560</v>
      </c>
      <c r="B514" s="33" t="s">
        <v>20</v>
      </c>
      <c r="C514" s="33" t="s">
        <v>21</v>
      </c>
      <c r="D514" s="33" t="s">
        <v>1465</v>
      </c>
      <c r="E514" s="33" t="s">
        <v>1466</v>
      </c>
      <c r="F514" s="33" t="s">
        <v>1467</v>
      </c>
      <c r="G514" s="33">
        <v>1</v>
      </c>
      <c r="H514" s="33"/>
      <c r="I514" s="33"/>
      <c r="J514" s="33">
        <v>15807.93</v>
      </c>
      <c r="K514" s="33"/>
    </row>
    <row r="515" spans="1:11" x14ac:dyDescent="0.25">
      <c r="A515" s="32">
        <v>561</v>
      </c>
      <c r="B515" s="32" t="s">
        <v>26</v>
      </c>
      <c r="C515" s="32" t="s">
        <v>21</v>
      </c>
      <c r="D515" s="32" t="s">
        <v>1468</v>
      </c>
      <c r="E515" s="32"/>
      <c r="F515" s="32"/>
      <c r="G515" s="32"/>
      <c r="H515" s="32"/>
      <c r="I515" s="32"/>
      <c r="J515" s="32">
        <v>0</v>
      </c>
      <c r="K515" s="32" t="s">
        <v>1469</v>
      </c>
    </row>
    <row r="516" spans="1:11" x14ac:dyDescent="0.25">
      <c r="A516" s="33">
        <v>562</v>
      </c>
      <c r="B516" s="33" t="s">
        <v>1306</v>
      </c>
      <c r="C516" s="33" t="s">
        <v>32</v>
      </c>
      <c r="D516" s="33" t="s">
        <v>1465</v>
      </c>
      <c r="E516" s="33" t="s">
        <v>1470</v>
      </c>
      <c r="F516" s="33" t="s">
        <v>1563</v>
      </c>
      <c r="G516" s="33">
        <v>1</v>
      </c>
      <c r="H516" s="33"/>
      <c r="I516" s="33"/>
      <c r="J516" s="33">
        <v>661.24</v>
      </c>
      <c r="K516" s="33"/>
    </row>
    <row r="517" spans="1:11" x14ac:dyDescent="0.25">
      <c r="A517" s="33">
        <v>563</v>
      </c>
      <c r="B517" s="33" t="s">
        <v>205</v>
      </c>
      <c r="C517" s="33" t="s">
        <v>32</v>
      </c>
      <c r="D517" s="33" t="s">
        <v>1465</v>
      </c>
      <c r="E517" s="33" t="s">
        <v>1470</v>
      </c>
      <c r="F517" s="33" t="s">
        <v>1492</v>
      </c>
      <c r="G517" s="33">
        <v>1</v>
      </c>
      <c r="H517" s="33"/>
      <c r="I517" s="33"/>
      <c r="J517" s="33">
        <v>102000</v>
      </c>
      <c r="K517" s="33"/>
    </row>
    <row r="518" spans="1:11" x14ac:dyDescent="0.25">
      <c r="A518" s="33">
        <v>564</v>
      </c>
      <c r="B518" s="33" t="s">
        <v>164</v>
      </c>
      <c r="C518" s="33" t="s">
        <v>32</v>
      </c>
      <c r="D518" s="33" t="s">
        <v>1465</v>
      </c>
      <c r="E518" s="33" t="s">
        <v>1470</v>
      </c>
      <c r="F518" s="33" t="s">
        <v>1487</v>
      </c>
      <c r="G518" s="33">
        <v>1</v>
      </c>
      <c r="H518" s="33"/>
      <c r="I518" s="33"/>
      <c r="J518" s="33">
        <v>52621.06</v>
      </c>
      <c r="K518" s="33"/>
    </row>
    <row r="519" spans="1:11" x14ac:dyDescent="0.25">
      <c r="A519" s="33">
        <v>565</v>
      </c>
      <c r="B519" s="33" t="s">
        <v>105</v>
      </c>
      <c r="C519" s="33" t="s">
        <v>60</v>
      </c>
      <c r="D519" s="33" t="s">
        <v>1465</v>
      </c>
      <c r="E519" s="33" t="s">
        <v>1474</v>
      </c>
      <c r="F519" s="33" t="s">
        <v>1482</v>
      </c>
      <c r="G519" s="33">
        <v>1</v>
      </c>
      <c r="H519" s="33"/>
      <c r="I519" s="33"/>
      <c r="J519" s="33">
        <v>0</v>
      </c>
      <c r="K519" s="33"/>
    </row>
    <row r="520" spans="1:11" x14ac:dyDescent="0.25">
      <c r="A520" s="33">
        <v>566</v>
      </c>
      <c r="B520" s="33" t="s">
        <v>1318</v>
      </c>
      <c r="C520" s="33" t="s">
        <v>320</v>
      </c>
      <c r="D520" s="33" t="s">
        <v>1465</v>
      </c>
      <c r="E520" s="33" t="s">
        <v>1512</v>
      </c>
      <c r="F520" s="33" t="s">
        <v>1564</v>
      </c>
      <c r="G520" s="33">
        <v>1</v>
      </c>
      <c r="H520" s="33"/>
      <c r="I520" s="33"/>
      <c r="J520" s="33">
        <v>950</v>
      </c>
      <c r="K520" s="33"/>
    </row>
    <row r="521" spans="1:11" x14ac:dyDescent="0.25">
      <c r="A521" s="33">
        <v>567</v>
      </c>
      <c r="B521" s="33" t="s">
        <v>1368</v>
      </c>
      <c r="C521" s="33" t="s">
        <v>60</v>
      </c>
      <c r="D521" s="33" t="s">
        <v>1465</v>
      </c>
      <c r="E521" s="33" t="s">
        <v>1474</v>
      </c>
      <c r="F521" s="33" t="s">
        <v>1566</v>
      </c>
      <c r="G521" s="33">
        <v>1</v>
      </c>
      <c r="H521" s="33"/>
      <c r="I521" s="33"/>
      <c r="J521" s="33">
        <v>460000</v>
      </c>
      <c r="K521" s="33"/>
    </row>
    <row r="522" spans="1:11" x14ac:dyDescent="0.25">
      <c r="A522" s="32">
        <v>568</v>
      </c>
      <c r="B522" s="32" t="s">
        <v>1372</v>
      </c>
      <c r="C522" s="32" t="s">
        <v>60</v>
      </c>
      <c r="D522" s="32" t="s">
        <v>1463</v>
      </c>
      <c r="E522" s="32"/>
      <c r="F522" s="32"/>
      <c r="G522" s="32"/>
      <c r="H522" s="32"/>
      <c r="I522" s="32"/>
      <c r="J522" s="32">
        <v>0</v>
      </c>
      <c r="K522" s="32" t="s">
        <v>1464</v>
      </c>
    </row>
    <row r="523" spans="1:11" x14ac:dyDescent="0.25">
      <c r="A523" s="33">
        <v>569</v>
      </c>
      <c r="B523" s="33" t="s">
        <v>20</v>
      </c>
      <c r="C523" s="33" t="s">
        <v>21</v>
      </c>
      <c r="D523" s="33" t="s">
        <v>1465</v>
      </c>
      <c r="E523" s="33" t="s">
        <v>1466</v>
      </c>
      <c r="F523" s="33" t="s">
        <v>1467</v>
      </c>
      <c r="G523" s="33">
        <v>1</v>
      </c>
      <c r="H523" s="33"/>
      <c r="I523" s="33"/>
      <c r="J523" s="33">
        <v>15807.93</v>
      </c>
      <c r="K523" s="33"/>
    </row>
    <row r="524" spans="1:11" x14ac:dyDescent="0.25">
      <c r="A524" s="32">
        <v>570</v>
      </c>
      <c r="B524" s="32" t="s">
        <v>26</v>
      </c>
      <c r="C524" s="32" t="s">
        <v>21</v>
      </c>
      <c r="D524" s="32" t="s">
        <v>1468</v>
      </c>
      <c r="E524" s="32"/>
      <c r="F524" s="32"/>
      <c r="G524" s="32"/>
      <c r="H524" s="32"/>
      <c r="I524" s="32"/>
      <c r="J524" s="32">
        <v>0</v>
      </c>
      <c r="K524" s="32" t="s">
        <v>1469</v>
      </c>
    </row>
    <row r="525" spans="1:11" x14ac:dyDescent="0.25">
      <c r="A525" s="33">
        <v>571</v>
      </c>
      <c r="B525" s="33" t="s">
        <v>159</v>
      </c>
      <c r="C525" s="33" t="s">
        <v>32</v>
      </c>
      <c r="D525" s="33" t="s">
        <v>1465</v>
      </c>
      <c r="E525" s="33" t="s">
        <v>1470</v>
      </c>
      <c r="F525" s="33" t="s">
        <v>1486</v>
      </c>
      <c r="G525" s="33">
        <v>1</v>
      </c>
      <c r="H525" s="33"/>
      <c r="I525" s="33"/>
      <c r="J525" s="33">
        <v>45270</v>
      </c>
      <c r="K525" s="33"/>
    </row>
    <row r="526" spans="1:11" x14ac:dyDescent="0.25">
      <c r="A526" s="33">
        <v>572</v>
      </c>
      <c r="B526" s="33" t="s">
        <v>105</v>
      </c>
      <c r="C526" s="33" t="s">
        <v>60</v>
      </c>
      <c r="D526" s="33" t="s">
        <v>1465</v>
      </c>
      <c r="E526" s="33" t="s">
        <v>1474</v>
      </c>
      <c r="F526" s="33" t="s">
        <v>1482</v>
      </c>
      <c r="G526" s="33">
        <v>1</v>
      </c>
      <c r="H526" s="33"/>
      <c r="I526" s="33"/>
      <c r="J526" s="33">
        <v>0</v>
      </c>
      <c r="K526" s="33"/>
    </row>
    <row r="527" spans="1:11" x14ac:dyDescent="0.25">
      <c r="A527" s="33">
        <v>573</v>
      </c>
      <c r="B527" s="33" t="s">
        <v>1385</v>
      </c>
      <c r="C527" s="33" t="s">
        <v>1386</v>
      </c>
      <c r="D527" s="33" t="s">
        <v>1465</v>
      </c>
      <c r="E527" s="33" t="s">
        <v>1567</v>
      </c>
      <c r="F527" s="33" t="s">
        <v>1568</v>
      </c>
      <c r="G527" s="33">
        <v>1</v>
      </c>
      <c r="H527" s="33"/>
      <c r="I527" s="33"/>
      <c r="J527" s="33">
        <v>580000</v>
      </c>
      <c r="K527" s="33"/>
    </row>
    <row r="528" spans="1:11" x14ac:dyDescent="0.25">
      <c r="A528" s="33">
        <v>574</v>
      </c>
      <c r="B528" s="33" t="s">
        <v>1391</v>
      </c>
      <c r="C528" s="33" t="s">
        <v>60</v>
      </c>
      <c r="D528" s="33" t="s">
        <v>1465</v>
      </c>
      <c r="E528" s="33" t="s">
        <v>1474</v>
      </c>
      <c r="F528" s="33" t="s">
        <v>1569</v>
      </c>
      <c r="G528" s="33">
        <v>1</v>
      </c>
      <c r="H528" s="33"/>
      <c r="I528" s="33"/>
      <c r="J528" s="33">
        <v>280000</v>
      </c>
      <c r="K528" s="33"/>
    </row>
    <row r="529" spans="1:11" x14ac:dyDescent="0.25">
      <c r="A529" s="33">
        <v>575</v>
      </c>
      <c r="B529" s="33" t="s">
        <v>1396</v>
      </c>
      <c r="C529" s="33" t="s">
        <v>60</v>
      </c>
      <c r="D529" s="33" t="s">
        <v>1465</v>
      </c>
      <c r="E529" s="33" t="s">
        <v>1474</v>
      </c>
      <c r="F529" s="33" t="s">
        <v>1570</v>
      </c>
      <c r="G529" s="33">
        <v>1</v>
      </c>
      <c r="H529" s="33"/>
      <c r="I529" s="33"/>
      <c r="J529" s="33">
        <v>2000000</v>
      </c>
      <c r="K529" s="33"/>
    </row>
    <row r="530" spans="1:11" x14ac:dyDescent="0.25">
      <c r="A530" s="32">
        <v>576</v>
      </c>
      <c r="B530" s="32" t="s">
        <v>1401</v>
      </c>
      <c r="C530" s="32" t="s">
        <v>60</v>
      </c>
      <c r="D530" s="32" t="s">
        <v>1463</v>
      </c>
      <c r="E530" s="32"/>
      <c r="F530" s="32"/>
      <c r="G530" s="32"/>
      <c r="H530" s="32"/>
      <c r="I530" s="32"/>
      <c r="J530" s="32">
        <v>0</v>
      </c>
      <c r="K530" s="32" t="s">
        <v>1464</v>
      </c>
    </row>
    <row r="531" spans="1:11" x14ac:dyDescent="0.25">
      <c r="A531" s="33">
        <v>577</v>
      </c>
      <c r="B531" s="33" t="s">
        <v>20</v>
      </c>
      <c r="C531" s="33" t="s">
        <v>21</v>
      </c>
      <c r="D531" s="33" t="s">
        <v>1465</v>
      </c>
      <c r="E531" s="33" t="s">
        <v>1466</v>
      </c>
      <c r="F531" s="33" t="s">
        <v>1467</v>
      </c>
      <c r="G531" s="33">
        <v>1</v>
      </c>
      <c r="H531" s="33"/>
      <c r="I531" s="33"/>
      <c r="J531" s="33">
        <v>15807.93</v>
      </c>
      <c r="K531" s="33"/>
    </row>
    <row r="532" spans="1:11" x14ac:dyDescent="0.25">
      <c r="A532" s="32">
        <v>578</v>
      </c>
      <c r="B532" s="32" t="s">
        <v>26</v>
      </c>
      <c r="C532" s="32" t="s">
        <v>21</v>
      </c>
      <c r="D532" s="32" t="s">
        <v>1468</v>
      </c>
      <c r="E532" s="32"/>
      <c r="F532" s="32"/>
      <c r="G532" s="32"/>
      <c r="H532" s="32"/>
      <c r="I532" s="32"/>
      <c r="J532" s="32">
        <v>0</v>
      </c>
      <c r="K532" s="32" t="s">
        <v>1469</v>
      </c>
    </row>
    <row r="533" spans="1:11" x14ac:dyDescent="0.25">
      <c r="A533" s="33">
        <v>579</v>
      </c>
      <c r="B533" s="33" t="s">
        <v>159</v>
      </c>
      <c r="C533" s="33" t="s">
        <v>32</v>
      </c>
      <c r="D533" s="33" t="s">
        <v>1465</v>
      </c>
      <c r="E533" s="33" t="s">
        <v>1470</v>
      </c>
      <c r="F533" s="33" t="s">
        <v>1486</v>
      </c>
      <c r="G533" s="33">
        <v>1</v>
      </c>
      <c r="H533" s="33"/>
      <c r="I533" s="33"/>
      <c r="J533" s="33">
        <v>45270</v>
      </c>
      <c r="K533" s="33"/>
    </row>
    <row r="534" spans="1:11" x14ac:dyDescent="0.25">
      <c r="A534" s="33">
        <v>580</v>
      </c>
      <c r="B534" s="33" t="s">
        <v>105</v>
      </c>
      <c r="C534" s="33" t="s">
        <v>60</v>
      </c>
      <c r="D534" s="33" t="s">
        <v>1465</v>
      </c>
      <c r="E534" s="33" t="s">
        <v>1474</v>
      </c>
      <c r="F534" s="33" t="s">
        <v>1482</v>
      </c>
      <c r="G534" s="33">
        <v>1</v>
      </c>
      <c r="H534" s="33"/>
      <c r="I534" s="33"/>
      <c r="J534" s="33">
        <v>0</v>
      </c>
      <c r="K534" s="33"/>
    </row>
    <row r="535" spans="1:11" x14ac:dyDescent="0.25">
      <c r="A535" s="33">
        <v>581</v>
      </c>
      <c r="B535" s="33" t="s">
        <v>1385</v>
      </c>
      <c r="C535" s="33" t="s">
        <v>1386</v>
      </c>
      <c r="D535" s="33" t="s">
        <v>1465</v>
      </c>
      <c r="E535" s="33" t="s">
        <v>1567</v>
      </c>
      <c r="F535" s="33" t="s">
        <v>1568</v>
      </c>
      <c r="G535" s="33">
        <v>1</v>
      </c>
      <c r="H535" s="33"/>
      <c r="I535" s="33"/>
      <c r="J535" s="33">
        <v>580000</v>
      </c>
      <c r="K535" s="33"/>
    </row>
    <row r="536" spans="1:11" x14ac:dyDescent="0.25">
      <c r="A536" s="33">
        <v>582</v>
      </c>
      <c r="B536" s="33" t="s">
        <v>1391</v>
      </c>
      <c r="C536" s="33" t="s">
        <v>60</v>
      </c>
      <c r="D536" s="33" t="s">
        <v>1465</v>
      </c>
      <c r="E536" s="33" t="s">
        <v>1474</v>
      </c>
      <c r="F536" s="33" t="s">
        <v>1569</v>
      </c>
      <c r="G536" s="33">
        <v>1</v>
      </c>
      <c r="H536" s="33"/>
      <c r="I536" s="33"/>
      <c r="J536" s="33">
        <v>280000</v>
      </c>
      <c r="K536" s="33"/>
    </row>
    <row r="537" spans="1:11" x14ac:dyDescent="0.25">
      <c r="A537" s="33">
        <v>583</v>
      </c>
      <c r="B537" s="33" t="s">
        <v>1396</v>
      </c>
      <c r="C537" s="33" t="s">
        <v>60</v>
      </c>
      <c r="D537" s="33" t="s">
        <v>1465</v>
      </c>
      <c r="E537" s="33" t="s">
        <v>1474</v>
      </c>
      <c r="F537" s="33" t="s">
        <v>1570</v>
      </c>
      <c r="G537" s="33">
        <v>1</v>
      </c>
      <c r="H537" s="33"/>
      <c r="I537" s="33"/>
      <c r="J537" s="33">
        <v>2000000</v>
      </c>
      <c r="K537" s="33"/>
    </row>
    <row r="538" spans="1:11" x14ac:dyDescent="0.25">
      <c r="A538" s="32">
        <v>584</v>
      </c>
      <c r="B538" s="32" t="s">
        <v>1421</v>
      </c>
      <c r="C538" s="32" t="s">
        <v>1422</v>
      </c>
      <c r="D538" s="32" t="s">
        <v>1463</v>
      </c>
      <c r="E538" s="32"/>
      <c r="F538" s="32"/>
      <c r="G538" s="32"/>
      <c r="H538" s="32"/>
      <c r="I538" s="32"/>
      <c r="J538" s="32">
        <v>0</v>
      </c>
      <c r="K538" s="32" t="s">
        <v>1464</v>
      </c>
    </row>
    <row r="539" spans="1:11" x14ac:dyDescent="0.25">
      <c r="A539" s="33">
        <v>585</v>
      </c>
      <c r="B539" s="33" t="s">
        <v>20</v>
      </c>
      <c r="C539" s="33" t="s">
        <v>21</v>
      </c>
      <c r="D539" s="33" t="s">
        <v>1465</v>
      </c>
      <c r="E539" s="33" t="s">
        <v>1466</v>
      </c>
      <c r="F539" s="33" t="s">
        <v>1467</v>
      </c>
      <c r="G539" s="33">
        <v>1</v>
      </c>
      <c r="H539" s="33"/>
      <c r="I539" s="33"/>
      <c r="J539" s="33">
        <v>15807.93</v>
      </c>
      <c r="K539" s="33"/>
    </row>
    <row r="540" spans="1:11" x14ac:dyDescent="0.25">
      <c r="A540" s="32">
        <v>586</v>
      </c>
      <c r="B540" s="32" t="s">
        <v>26</v>
      </c>
      <c r="C540" s="32" t="s">
        <v>21</v>
      </c>
      <c r="D540" s="32" t="s">
        <v>1468</v>
      </c>
      <c r="E540" s="32"/>
      <c r="F540" s="32"/>
      <c r="G540" s="32"/>
      <c r="H540" s="32"/>
      <c r="I540" s="32"/>
      <c r="J540" s="32">
        <v>0</v>
      </c>
      <c r="K540" s="32" t="s">
        <v>1469</v>
      </c>
    </row>
    <row r="541" spans="1:11" x14ac:dyDescent="0.25">
      <c r="A541" s="33">
        <v>587</v>
      </c>
      <c r="B541" s="33" t="s">
        <v>1431</v>
      </c>
      <c r="C541" s="33" t="s">
        <v>32</v>
      </c>
      <c r="D541" s="33" t="s">
        <v>1465</v>
      </c>
      <c r="E541" s="33" t="s">
        <v>1470</v>
      </c>
      <c r="F541" s="33" t="s">
        <v>1571</v>
      </c>
      <c r="G541" s="33">
        <v>1</v>
      </c>
      <c r="H541" s="33"/>
      <c r="I541" s="33"/>
      <c r="J541" s="33">
        <v>2570.2800000000002</v>
      </c>
      <c r="K541" s="33"/>
    </row>
    <row r="542" spans="1:11" x14ac:dyDescent="0.25">
      <c r="A542" s="33">
        <v>588</v>
      </c>
      <c r="B542" s="33" t="s">
        <v>164</v>
      </c>
      <c r="C542" s="33" t="s">
        <v>32</v>
      </c>
      <c r="D542" s="33" t="s">
        <v>1465</v>
      </c>
      <c r="E542" s="33" t="s">
        <v>1470</v>
      </c>
      <c r="F542" s="33" t="s">
        <v>1487</v>
      </c>
      <c r="G542" s="33">
        <v>1</v>
      </c>
      <c r="H542" s="33"/>
      <c r="I542" s="33"/>
      <c r="J542" s="33">
        <v>52621.06</v>
      </c>
      <c r="K542" s="33"/>
    </row>
    <row r="543" spans="1:11" x14ac:dyDescent="0.25">
      <c r="A543" s="33">
        <v>589</v>
      </c>
      <c r="B543" s="33" t="s">
        <v>1437</v>
      </c>
      <c r="C543" s="33" t="s">
        <v>179</v>
      </c>
      <c r="D543" s="33" t="s">
        <v>1465</v>
      </c>
      <c r="E543" s="33" t="s">
        <v>1489</v>
      </c>
      <c r="F543" s="33" t="s">
        <v>1572</v>
      </c>
      <c r="G543" s="33">
        <v>1</v>
      </c>
      <c r="H543" s="33"/>
      <c r="I543" s="33"/>
      <c r="J543" s="33">
        <v>14730</v>
      </c>
      <c r="K543" s="33"/>
    </row>
  </sheetData>
  <autoFilter ref="A1:K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LRV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РЕСУРСНАЯ СМЕТА</dc:title>
  <cp:lastModifiedBy>Пользователь</cp:lastModifiedBy>
  <cp:lastPrinted>2010-12-23T17:04:24Z</cp:lastPrinted>
  <dcterms:created xsi:type="dcterms:W3CDTF">2005-03-16T05:26:07Z</dcterms:created>
  <dcterms:modified xsi:type="dcterms:W3CDTF">2026-10-24T06:10:34Z</dcterms:modified>
</cp:coreProperties>
</file>