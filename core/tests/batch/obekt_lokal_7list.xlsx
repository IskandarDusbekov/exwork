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claude\C--Users-user-Desktop-exwork\aa205948-b3b2-4fc4-81d8-34a51bf45452\scratchpad\samples\conv\"/>
    </mc:Choice>
  </mc:AlternateContent>
  <xr:revisionPtr revIDLastSave="0" documentId="8_{83A29036-1912-4551-9468-89F5A287C77E}" xr6:coauthVersionLast="47" xr6:coauthVersionMax="47" xr10:uidLastSave="{00000000-0000-0000-0000-000000000000}"/>
  <bookViews>
    <workbookView xWindow="-120" yWindow="-120" windowWidth="51840" windowHeight="21240" tabRatio="907" firstSheet="6" activeTab="6" xr2:uid="{0602C88E-33AF-4738-ACB0-2B3649AEC6DE}"/>
  </bookViews>
  <sheets>
    <sheet name="202611400_БВ" sheetId="26" r:id="rId1"/>
    <sheet name="202611400_БР" sheetId="25" r:id="rId2"/>
    <sheet name="202611410_БВ" sheetId="4" r:id="rId3"/>
    <sheet name="202611410_БР" sheetId="5" r:id="rId4"/>
    <sheet name="202611420_БВ" sheetId="6" r:id="rId5"/>
    <sheet name="202611420_БР" sheetId="7" r:id="rId6"/>
    <sheet name="202611450_БВ" sheetId="12" r:id="rId7"/>
  </sheets>
  <definedNames>
    <definedName name="_xlnm.Print_Titles" localSheetId="0">'202611400_БВ'!$14:$14</definedName>
    <definedName name="_xlnm.Print_Titles" localSheetId="1">'202611400_БР'!$19:$19</definedName>
    <definedName name="_xlnm.Print_Titles" localSheetId="2">'202611410_БВ'!$14:$14</definedName>
    <definedName name="_xlnm.Print_Titles" localSheetId="3">'202611410_БР'!$19:$19</definedName>
    <definedName name="_xlnm.Print_Titles" localSheetId="4">'202611420_БВ'!$14:$14</definedName>
    <definedName name="_xlnm.Print_Titles" localSheetId="5">'202611420_БР'!$19:$19</definedName>
    <definedName name="_xlnm.Print_Titles" localSheetId="6">'202611450_БВ'!$14:$14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7" l="1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84" i="7" s="1"/>
  <c r="G86" i="7" s="1"/>
  <c r="G88" i="7" s="1"/>
  <c r="G50" i="7"/>
  <c r="G51" i="7"/>
  <c r="G52" i="7"/>
  <c r="G53" i="7"/>
  <c r="G54" i="7"/>
  <c r="G55" i="7"/>
  <c r="G78" i="7" s="1"/>
  <c r="K78" i="7" s="1"/>
  <c r="K79" i="7" s="1"/>
  <c r="K80" i="7" s="1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81" i="7"/>
  <c r="G82" i="7"/>
  <c r="G23" i="5"/>
  <c r="G25" i="5"/>
  <c r="G28" i="5"/>
  <c r="G29" i="5"/>
  <c r="G30" i="5"/>
  <c r="G63" i="5" s="1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7" i="5"/>
  <c r="G68" i="5"/>
  <c r="G69" i="5"/>
  <c r="G124" i="5" s="1"/>
  <c r="K124" i="5" s="1"/>
  <c r="K125" i="5" s="1"/>
  <c r="K126" i="5" s="1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7" i="5"/>
  <c r="G130" i="5" s="1"/>
  <c r="G128" i="5"/>
  <c r="G129" i="5"/>
  <c r="G23" i="25"/>
  <c r="G25" i="25"/>
  <c r="G28" i="25"/>
  <c r="G29" i="25"/>
  <c r="G49" i="25" s="1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53" i="25"/>
  <c r="G68" i="25" s="1"/>
  <c r="K68" i="25" s="1"/>
  <c r="K69" i="25" s="1"/>
  <c r="K70" i="25" s="1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25" i="7"/>
  <c r="G132" i="5" l="1"/>
  <c r="G134" i="5" s="1"/>
  <c r="G136" i="5" s="1"/>
  <c r="G70" i="25"/>
  <c r="G72" i="25" s="1"/>
  <c r="G74" i="25" s="1"/>
</calcChain>
</file>

<file path=xl/sharedStrings.xml><?xml version="1.0" encoding="utf-8"?>
<sst xmlns="http://schemas.openxmlformats.org/spreadsheetml/2006/main" count="5026" uniqueCount="1008">
  <si>
    <t>Форма N 5</t>
  </si>
  <si>
    <t>IL "URGUT TUMANIDAGI YANGI-DARGOM KANALINING PK52+00 DAN PK102+00 GACHA BOLGAN QISMINI REKONSTRUKSIYA QILISH"</t>
  </si>
  <si>
    <t>(наименование стройки)</t>
  </si>
  <si>
    <r>
      <t>ЛОКАЛЬНАЯ РЕСУРСНАЯ ВЕДОМОСТЬ</t>
    </r>
    <r>
      <rPr>
        <sz val="12"/>
        <rFont val="Times New Roman Cyr"/>
        <family val="1"/>
        <charset val="204"/>
      </rPr>
      <t xml:space="preserve">  № </t>
    </r>
  </si>
  <si>
    <t>1-1</t>
  </si>
  <si>
    <t>(локальная ресурсная смета)</t>
  </si>
  <si>
    <t xml:space="preserve">                   </t>
  </si>
  <si>
    <t xml:space="preserve">на </t>
  </si>
  <si>
    <t>, YANGI-DARGOM KANALI</t>
  </si>
  <si>
    <t>(наименование работ и затрат, наименование объекта)</t>
  </si>
  <si>
    <t>Основание:</t>
  </si>
  <si>
    <t>N п.п.</t>
  </si>
  <si>
    <t>Шифр номера нормативов и коды ресурсов</t>
  </si>
  <si>
    <t>Наименование работ и затрат</t>
  </si>
  <si>
    <t>Единица измерения</t>
  </si>
  <si>
    <t xml:space="preserve">Количество </t>
  </si>
  <si>
    <t>на. ед. измерения</t>
  </si>
  <si>
    <t>по проектным данным</t>
  </si>
  <si>
    <t>ЗЕМЛЯНЫЕ РАБОТЫ</t>
  </si>
  <si>
    <t>1</t>
  </si>
  <si>
    <t>Е0103-033-01 ДОП. 11 ГОСАРХИТЕКТСТРОЙ РУЗ ПР. № 429 ОТ 15.12.17 Г.</t>
  </si>
  <si>
    <t>РАЗРАБОТКА ГРУНТА ПРИ УСТРОЙСТВЕ МЕЛИОРАТИВНЫХ ОБЪЕКТОВ, ДАМБ ОБВАЛОВАНИЯ, ПОДУШЕК ПОД МЕЛИОРАТИВНЫЕ КАНАЛЫ ОДНОКОВШОВЫМИ ГИДРАВЛИЧЕСКИМИ ЭКСКАВАТОРАМИ JY 230 ELD С РАБОЧИМ ОБОРУДОВАНИЕМ ОБРАТНАЯ ЛОПАТА ЕМКОСТЬЮ КОВША 0,8 М3 С ПРОЕКТНЫМ СЕЧЕНИЕМ МЕЛИОРАТИВНОГО КАНАЛА, ДО 4 М2 В ГРУНТАХ 1 ГРУППЫ</t>
  </si>
  <si>
    <t>100М3</t>
  </si>
  <si>
    <t>1.1</t>
  </si>
  <si>
    <t>3</t>
  </si>
  <si>
    <t>ЗАТРАТЫ ТРУДА МАШИНИСТОВ</t>
  </si>
  <si>
    <t>ЧЕЛ.-Ч</t>
  </si>
  <si>
    <t>1.2</t>
  </si>
  <si>
    <t>3425</t>
  </si>
  <si>
    <t>ЭКСКАВАТОР ГИДРАВЛИЧЕСКИЙ НА ГУСЕНИЧНОМ ХОДУ JY 230ELD, С ЕМКОСТЬЮ КОВША 0,8 М3</t>
  </si>
  <si>
    <t>МАШ.-Ч</t>
  </si>
  <si>
    <t>2</t>
  </si>
  <si>
    <t>2.1</t>
  </si>
  <si>
    <t>2.2</t>
  </si>
  <si>
    <t>Е0102-063-01</t>
  </si>
  <si>
    <t>РАЗРАБОТКА ГРУНТА В ТРАНШЕЯХ И КОТЛОВАНАХ ГЛУБИНОЙ БОЛЕЕ 3 М ВРУЧНУЮ С ПОДЪЕМОМ КРАНОМ ПРИ НАЛИЧИИ КРЕПЛЕНИЙ, ГРУППА ГРУНТОВ 1</t>
  </si>
  <si>
    <t>3.1</t>
  </si>
  <si>
    <t>ЗАТРАТЫ ТРУДА РАБОЧИХ-СТРОИТЕЛЕЙ</t>
  </si>
  <si>
    <t>3.2</t>
  </si>
  <si>
    <t>3.3</t>
  </si>
  <si>
    <t>864</t>
  </si>
  <si>
    <t>КРАНЫ ПЕРЕНОСНЫЕ 1 Т</t>
  </si>
  <si>
    <t>4</t>
  </si>
  <si>
    <t>Е0101-106-08</t>
  </si>
  <si>
    <t>РАЗРАВНИВАНИЕ КАВАЛЬЕРОВ [ОТВАЛОВ] ПРИ ПЕРЕМЕЩЕНИИ ГРУНТА ДО 10 М БУЛЬДОЗЕРАМИ МОЩНОСТЬЮ 96 [130] КВТ [Л.С.], 2 ГРУППА ГРУНТОВ</t>
  </si>
  <si>
    <t>1000М3</t>
  </si>
  <si>
    <t>4.1</t>
  </si>
  <si>
    <t>4.2</t>
  </si>
  <si>
    <t>247</t>
  </si>
  <si>
    <t>БУЛЬДОЗЕРЫ ПРИ РАБОТЕ НА ВОДОХОЗЯЙСТВЕННОМ СТРОИТЕЛЬСТВЕ 96 (130) КВТ (Л.С.)</t>
  </si>
  <si>
    <t>5</t>
  </si>
  <si>
    <t>Е0103-040-09 ДОП. 11 ГОСАРХИТЕКТСТРОЙ РУЗ ПР. № 429 ОТ 15.12.17 Г.. ТЧ П.3.258 КЗТР=1,2, КЭМ=1,2</t>
  </si>
  <si>
    <t>РАЗРАБОТКА ГРУНТА ПРИ УСТРОЙСТВЕ МЕЛИОРАТИВНЫХ ОБЪЕКТОВ, ДАМБ ОБВАЛОВАНИЯ, ПОДУШЕК ПОД МЕЛИОРАТИВНЫЕ КАНАЛЫ ОДНОКОВШОВЫМИ ГИДРАВЛИЧЕСКИМИ ЭКСКАВАТОРАМИ JY 210Е С РАБОЧИМ ОБОРУДОВАНИЕМ ОБРАТНАЯ ЛОПАТА ЕМКОСТЬЮ КОВША 1,0 М3 С ПРОЕКТНЫМ СЕЧЕНИЕМ МЕЛИОРАТИВНОГО КАНАЛА, СВ. 10 М2 В ГРУНТАХ 1 ГРУППЫ. ПРИ РАЗРАБОТКЕ ЭКСКАВАТОРАМИ С ПОГРУЗКОЙ В АВТОСАМОСВАЛЫ, ПРИМЕНЕН КОЭФФИЦИЕНТ К НОРМАМ ЗАТРАТ ТРУДА-1,2 И НОРМАМ ЭКСПЛУАТАЦИИ МАШИН-1,2</t>
  </si>
  <si>
    <t>100М3 ГРУНТА</t>
  </si>
  <si>
    <t>5.1</t>
  </si>
  <si>
    <t>5.2</t>
  </si>
  <si>
    <t>3433</t>
  </si>
  <si>
    <t>ЭКСКАВАТОР ГИДРАВЛИЧЕСКИЙ НА ГУСЕНИЧНОМ ХОДУ JY 230E, С ЕМКОСТЬЮ КОВША 1,0 М3</t>
  </si>
  <si>
    <t>6</t>
  </si>
  <si>
    <t>Е310-1005 . СРН4.04.06-14 Р.3.Т.7 К=0,41</t>
  </si>
  <si>
    <t>ПЕРЕВОЗКА ГРУЗОВ АВТОМОБИЛЕМ, РАССТОЯНИЕ ПЕРЕВОЗКИ 5 КМ, КЛАСС ГРУЗА 1. ПРИ ПЕРЕВОЗКЕ АВТОСАМОСВАЛАМИ ГРУЗОПОДЪЕМНОСТЬЮ 25, ПРИМЕНЕН КОЭФФИЦИЕНТ К НОРМАМ ЗАТРАТ ТРУДА МАШИНИСТОВ И ЭКСПЛУАТАЦИИ МАШИН - 0,41</t>
  </si>
  <si>
    <t>Т</t>
  </si>
  <si>
    <t>6.1</t>
  </si>
  <si>
    <t>6.2</t>
  </si>
  <si>
    <t>3457</t>
  </si>
  <si>
    <t>АВТОМОБИЛИ-САМОСВАЛЫ ГРУЗОПОДЪЕМНОСТЬЮ ДО 25 Т</t>
  </si>
  <si>
    <t>7</t>
  </si>
  <si>
    <t>Е0101-015-01 К=6</t>
  </si>
  <si>
    <t>РЕМОНТ И СОДЕРЖАНИЕ ГРУНТОВЫХ ЗЕМЛЕВОЗНЫХ ДОРОГ НА КАЖДЫЕ 0,5 КМ ДЛИНЫ, ГРУППА ГРУНТОВ 1</t>
  </si>
  <si>
    <t>7.1</t>
  </si>
  <si>
    <t>7.2</t>
  </si>
  <si>
    <t>107</t>
  </si>
  <si>
    <t>АВТОГРЕЙДЕРЫ СРЕДНЕГО ТИПА 99 (135) КВТ (Л.С.)</t>
  </si>
  <si>
    <t>7.3</t>
  </si>
  <si>
    <t>43113</t>
  </si>
  <si>
    <t>ЩЕБЕНЬ</t>
  </si>
  <si>
    <t>М3</t>
  </si>
  <si>
    <t>8</t>
  </si>
  <si>
    <t>Е0101-031-02 . ТЧ П.3.31 КЭМ=1,06. ТЧ П.3.76 КЭМ=0,85</t>
  </si>
  <si>
    <t>РАЗРАБОТКА ГРУНТА С ПЕРЕМЕЩЕНИЕМ ДО 10 М БУЛЬДОЗЕРАМИ МОЩНОСТЬЮ 96 [130] КВТ [Л.С.], 2 ГРУППА ГРУНТОВ. ВОДОХОЗЯЙСТВЕННОЕ СТРОИТЕЛЬСТВО, ПРИМЕНЕН КОЭФФИЦИЕНТ К НОРМАМ ЭКСПЛУАТАЦИИ МАШИН-1,06. РАНЕЕ РАЗРЫХЛЕННЫЕ ГРУНТЫ, ЗА ИСКЛЮЧЕНИЕМ ВЗОРВАННОЙ СКАЛЬНОЙ ПОРОДЫ, СЫПУЧИХ БАРХАННЫХ И ДЮННЫХ ПЕСКОВ, ПРИМЕНЕН КОЭФФИЦИЕНТ К НОРМАМ ЭКСПЛУАТАЦИИ МАШИН-0,85</t>
  </si>
  <si>
    <t>8.1</t>
  </si>
  <si>
    <t>8.2</t>
  </si>
  <si>
    <t>259</t>
  </si>
  <si>
    <t>БУЛЬДОЗЕРЫ ПРИ РАБОТЕ НА ДРУГИХ ВИДАХ СТРОИТЕЛЬСТВА (КРОМЕ ВОДОХОЗЯЙСТВЕННОГО) 96 (130) КВТ (Л.С.)</t>
  </si>
  <si>
    <t>9</t>
  </si>
  <si>
    <t>9.1</t>
  </si>
  <si>
    <t>9.2</t>
  </si>
  <si>
    <t>10</t>
  </si>
  <si>
    <t>Е0102-005-01</t>
  </si>
  <si>
    <t>УПЛОТНЕНИЕ ГРУНТА ПНЕВМАТИЧЕСКИМИ ТРАМБОВКАМИ, ГРУППА ГРУНТОВ 1, 2</t>
  </si>
  <si>
    <t>10.1</t>
  </si>
  <si>
    <t>10.2</t>
  </si>
  <si>
    <t>10.3</t>
  </si>
  <si>
    <t>660</t>
  </si>
  <si>
    <t>КОМПРЕССОРЫ ПЕРЕДВИЖНЫЕ С ДВИГАТЕЛЕМ ВНУТРЕННЕГО СГОРАНИЯ ДАВЛЕНИЕМ ДО 686 КПА (7 АТМ.) 5 М3/МИН</t>
  </si>
  <si>
    <t>10.4</t>
  </si>
  <si>
    <t>1866</t>
  </si>
  <si>
    <t>ТРАМБОВКИ ПНЕВМАТИЧЕСКИЕ</t>
  </si>
  <si>
    <t>11</t>
  </si>
  <si>
    <t>Е0103-021-01 ДОП. 6</t>
  </si>
  <si>
    <t>ПЛАНИРОВКА БЕРМ КАНАЛОВ БУЛЬДОЗЕРАМИ 79[108] КВТ[Л.С.] ЗА ОДИН ПРОХОД В ОДНОМ НАПРАВЛЕНИИ</t>
  </si>
  <si>
    <t>1000М2</t>
  </si>
  <si>
    <t>11.1</t>
  </si>
  <si>
    <t>11.2</t>
  </si>
  <si>
    <t>246</t>
  </si>
  <si>
    <t>БУЛЬДОЗЕРЫ ПРИ РАБОТЕ НА ВОДОХОЗЯЙСТВЕННОМ СТРОИТЕЛЬСТВЕ 79 (108) КВТ (Л.С.)</t>
  </si>
  <si>
    <t>12</t>
  </si>
  <si>
    <t>Е0101-109-01</t>
  </si>
  <si>
    <t>ПЛАНИРОВКА ОТКОСОВ ВЫЕМОК И НАСЫПЕЙ ЭКСКАВАТОРАМИ, ГРУППА ГРУНТОВ 1-2</t>
  </si>
  <si>
    <t>12.1</t>
  </si>
  <si>
    <t>12.2</t>
  </si>
  <si>
    <t>12.3</t>
  </si>
  <si>
    <t>2259</t>
  </si>
  <si>
    <t>ЭКСКАВАТОРЫ ОДНОКОВШОВЫЕ ДИЗЕЛЬНЫЕ НА ГУСЕНИЧНОМ ХОДУ ПРИ РАБОТЕ НА ВОДОХОЗЯЙСТВЕННОМ СТРОИТЕЛЬСТВЕ 0,65 М3</t>
  </si>
  <si>
    <t>13</t>
  </si>
  <si>
    <t>Е0103-021-02 ДОП. 6</t>
  </si>
  <si>
    <t>ПЛАНИРОВКА БЕРМ КАНАЛОВ БУЛЬДОЗЕРАМИ 79[108] КВТ[Л.С.] ЗА ОДИН ПРОХОД В ДВУХ НАПРАВЛЕНИЯХ</t>
  </si>
  <si>
    <t>13.1</t>
  </si>
  <si>
    <t>13.2</t>
  </si>
  <si>
    <t>14</t>
  </si>
  <si>
    <t>РАЗРАБОТКА ГРУНТА ПРИ УСТРОЙСТВЕ МЕЛИОРАТИВНЫХ ОБЪЕКТОВ, ДАМБ ОБВАЛОВАНИЯ, ПОДУШЕК ПОД МЕЛИОРАТИВНЫЕ КАНАЛЫ ОДНОКОВШОВЫМИ ГИДРАВЛИЧЕСКИМИ ЭКСКАВАТОРАМИ JY 230 ELD С РАБОЧИМ ОБОРУДОВАНИЕМ ОБРАТНАЯ ЛОПАТА ЕМКОСТЬЮ КОВША 0,8 М3 С ПРОЕКТНЫМ СЕЧЕНИЕМ МЕЛИОРАТИВНОГО КАНАЛА, ДО 4 М2 В ГРУНТАХ 1 ГРУППЫ /СРЕЗКА/</t>
  </si>
  <si>
    <t>14.1</t>
  </si>
  <si>
    <t>14.2</t>
  </si>
  <si>
    <t>15</t>
  </si>
  <si>
    <t>Е0101-031-01 . ТЧ П.3.31 КЭМ=1,06</t>
  </si>
  <si>
    <t>РАЗРАБОТКА ГРУНТА С ПЕРЕМЕЩЕНИЕМ ДО 10 М БУЛЬДОЗЕРАМИ МОЩНОСТЬЮ 96 [130] КВТ [Л.С.], 1 ГРУППА ГРУНТОВ. ВОДОХОЗЯЙСТВЕННОЕ СТРОИТЕЛЬСТВО, ПРИМЕНЕН КОЭФФИЦИЕНТ К НОРМАМ ЭКСПЛУАТАЦИИ МАШИН-1,06 /СРЕЗКА/</t>
  </si>
  <si>
    <t>15.1</t>
  </si>
  <si>
    <t>15.2</t>
  </si>
  <si>
    <t>16</t>
  </si>
  <si>
    <t>Е0101-106-07</t>
  </si>
  <si>
    <t>РАЗРАВНИВАНИЕ КАВАЛЬЕРОВ [ОТВАЛОВ] ПРИ ПЕРЕМЕЩЕНИИ ГРУНТА ДО 10 М БУЛЬДОЗЕРАМИ МОЩНОСТЬЮ 96 [130] КВТ [Л.С.], 1 ГРУППА ГРУНТОВ</t>
  </si>
  <si>
    <t>16.1</t>
  </si>
  <si>
    <t>16.2</t>
  </si>
  <si>
    <t>БЕТОННЫЕ РАБОТЫ</t>
  </si>
  <si>
    <t>17</t>
  </si>
  <si>
    <t>Е4201-012-02</t>
  </si>
  <si>
    <t>УКЛАДКА БЕТОНА ПРИ УВЛАЖНЕНИИ ПОВЕРХНОСТИ ВОДОЙ БЕТОН В15 НА СУЛЬФАТОСТОЙКОМ ЦЕМЕНТЕ, ВОДОНЕПРОНИЦАЕМЫЙ, МОРОЗОСТОЙКИЙ F150 W6 БЕТОН ТЯЖЕЛЫЙ КЛАССА В15 /М-200/ ФРАКЦИИ 5-20 ММ</t>
  </si>
  <si>
    <t>17.1</t>
  </si>
  <si>
    <t>17.2</t>
  </si>
  <si>
    <t>17.3</t>
  </si>
  <si>
    <t>404</t>
  </si>
  <si>
    <t>ВИБРАТОРЫ ПОВЕРХНОСТНЫЕ</t>
  </si>
  <si>
    <t>17.4</t>
  </si>
  <si>
    <t>762</t>
  </si>
  <si>
    <t>КРАНЫ НА АВТОМОБИЛЬНОМ ХОДУ ПРИ РАБОТЕ НА ДРУГИХ ВИДАХ СТРОИТЕЛЬСТВА 10 Т</t>
  </si>
  <si>
    <t>17.5</t>
  </si>
  <si>
    <t>783</t>
  </si>
  <si>
    <t>КРАНЫ НА ГУСЕНИЧНОМ ХОДУ ПРИ РАБОТЕ НА ДРУГИХ ВИДАХ СТРОИТЕЛЬСТВА ДО 16 Т</t>
  </si>
  <si>
    <t>17.6</t>
  </si>
  <si>
    <t>2349</t>
  </si>
  <si>
    <t>ЭЛЕКТРОСТАНЦИИ ПЕРЕДВИЖНЫЕ 4 КВТ</t>
  </si>
  <si>
    <t>17.7</t>
  </si>
  <si>
    <t>2509</t>
  </si>
  <si>
    <t>АВТОМОБИЛИ БОРТОВЫЕ ГРУЗОПОДЪЕМНОСТЬЮ ДО 5 Т</t>
  </si>
  <si>
    <t>17.8</t>
  </si>
  <si>
    <t>6322</t>
  </si>
  <si>
    <t>БЕТОН ТЯЖЕЛЫЙ КЛАССА В15 /М-200/ ФРАКЦИИ 5-20 ММ</t>
  </si>
  <si>
    <t>17.9</t>
  </si>
  <si>
    <t>9219</t>
  </si>
  <si>
    <t>ВОДА</t>
  </si>
  <si>
    <t>17.10</t>
  </si>
  <si>
    <t>30407</t>
  </si>
  <si>
    <t>ГВОЗДИ СТРОИТЕЛЬНЫЕ</t>
  </si>
  <si>
    <t>17.11</t>
  </si>
  <si>
    <t>32129</t>
  </si>
  <si>
    <t>МАСТИКА ТИОКОЛОВАЯ СТРОИТЕЛЬНОГО НАЗНАЧЕНИЯ КБ-0,5</t>
  </si>
  <si>
    <t>КГ</t>
  </si>
  <si>
    <t>17.12</t>
  </si>
  <si>
    <t>36053</t>
  </si>
  <si>
    <t>ДОСКИ ОБРЕЗНЫЕ ХВОЙНЫХ ПОРОД ДЛИНОЙ 4-6,5 М, ШИРИНОЙ 75-150 ММ, ТОЛЩИНОЙ 25 ММ, III СОРТА</t>
  </si>
  <si>
    <t>18</t>
  </si>
  <si>
    <t>Е0603-004-01</t>
  </si>
  <si>
    <t>АРМИРОВАНИЕ ПОДСТИЛАЮЩИХ СЛОЕВ И НАБЕТОНОК КОМПОЗИТНОЙ ПОЛИМЕРНОЙ АРМАТУРОЙ</t>
  </si>
  <si>
    <t>18.1</t>
  </si>
  <si>
    <t>18.2</t>
  </si>
  <si>
    <t>18.3</t>
  </si>
  <si>
    <t>18.4</t>
  </si>
  <si>
    <t>19</t>
  </si>
  <si>
    <t>АРМАТУРА БАЗАЛЬТОВАЯ КОМПОЗИТНАЯ Ф8 ММ 33Х33 ММ</t>
  </si>
  <si>
    <t>М</t>
  </si>
  <si>
    <t>20</t>
  </si>
  <si>
    <t>ПРОВОЛОКА</t>
  </si>
  <si>
    <t>ТН</t>
  </si>
  <si>
    <t>21</t>
  </si>
  <si>
    <t>21.1</t>
  </si>
  <si>
    <t>21.2</t>
  </si>
  <si>
    <t>21.3</t>
  </si>
  <si>
    <t>112</t>
  </si>
  <si>
    <t>АВТОПОГРУЗЧИКИ 5 Т</t>
  </si>
  <si>
    <t>21.4</t>
  </si>
  <si>
    <t>403</t>
  </si>
  <si>
    <t>ВИБРАТОРЫ ГЛУБИННЫЕ</t>
  </si>
  <si>
    <t>21.5</t>
  </si>
  <si>
    <t>21.6</t>
  </si>
  <si>
    <t>21.7</t>
  </si>
  <si>
    <t>21.8</t>
  </si>
  <si>
    <t>21.9</t>
  </si>
  <si>
    <t>21.10</t>
  </si>
  <si>
    <t>21.11</t>
  </si>
  <si>
    <t>21.12</t>
  </si>
  <si>
    <t>32524</t>
  </si>
  <si>
    <t>КАТАНКА ГОРЯЧЕКАТАНАЯ В МОТКАХ ДИАМЕТРОМ 6,3-6,5 ММ</t>
  </si>
  <si>
    <t>21.13</t>
  </si>
  <si>
    <t>36061</t>
  </si>
  <si>
    <t>ДОСКИ ОБРЕЗНЫЕ ХВОЙНЫХ ПОРОД ДЛИНОЙ 4-6,5 М, ШИРИНОЙ 75-150 ММ, ТОЛЩИНОЙ 44 ММ И БОЛЕЕ, III СОРТА</t>
  </si>
  <si>
    <t>21.14</t>
  </si>
  <si>
    <t>43109</t>
  </si>
  <si>
    <t>КАМЕНЬ БУТОВЫЙ</t>
  </si>
  <si>
    <t>51619</t>
  </si>
  <si>
    <t>ЩИТЫ ИЗ ДОСОК ТОЛЩИНОЙ 25 ММ</t>
  </si>
  <si>
    <t>М2</t>
  </si>
  <si>
    <t>22</t>
  </si>
  <si>
    <t>22.1</t>
  </si>
  <si>
    <t>22.2</t>
  </si>
  <si>
    <t>22.3</t>
  </si>
  <si>
    <t>22.4</t>
  </si>
  <si>
    <t>2016</t>
  </si>
  <si>
    <t>УСТАНОВКИ ДЛЯ СВАРКИ РУЧНОЙ ДУГОВОЙ (ПОСТОЯННОГО ТОКА)</t>
  </si>
  <si>
    <t>22.5</t>
  </si>
  <si>
    <t>22.6</t>
  </si>
  <si>
    <t>35310</t>
  </si>
  <si>
    <t>ЭЛЕКТРОДЫ ДИАМЕТРОМ 4 ММ Э42</t>
  </si>
  <si>
    <t>23</t>
  </si>
  <si>
    <t>24</t>
  </si>
  <si>
    <t>ПОЛИЗОЛ</t>
  </si>
  <si>
    <t>ПРОЧИЕ РАБОТЫ</t>
  </si>
  <si>
    <t>25</t>
  </si>
  <si>
    <t>Е3801-004-01</t>
  </si>
  <si>
    <t>УСТРОЙСТВО В СООРУЖЕНИЯХ ФИЛЬТРОВ ДРЕНАЖЕЙ СПЛОШНЫХ В ОСНОВАНИЯХ</t>
  </si>
  <si>
    <t>25.1</t>
  </si>
  <si>
    <t>25.2</t>
  </si>
  <si>
    <t>251</t>
  </si>
  <si>
    <t>БУЛЬДОЗЕРЫ ПРИ РАБОТЕ НА ГИДРОЭНЕРГЕТИЧЕСКОМ СТРОИТЕЛЬСТВЕ И ГОРНОВСКРЫШНЫХ РАБОТАХ 79 (108) КВТ (Л.С.)</t>
  </si>
  <si>
    <t>758</t>
  </si>
  <si>
    <t>КРАНЫ НА АВТОМОБИЛЬНОМ ХОДУ ПРИ РАБОТЕ НА ГИДРОЭНЕРГЕТИЧЕСКОМ СТРОИТЕЛЬСТВЕ 10 Т</t>
  </si>
  <si>
    <t>23469</t>
  </si>
  <si>
    <t>51622</t>
  </si>
  <si>
    <t>ЩИТЫ НАСТИЛА ПО ПРОЕКТНЫМ ДАННЫМ</t>
  </si>
  <si>
    <t>26</t>
  </si>
  <si>
    <t>Е2601-060-07</t>
  </si>
  <si>
    <t>ОБЕРТЫВАНИЕ ПОВЕРХНОСТИ ИЗОЛЯЦИИ РУЛОННЫМИ МАТЕРИАЛАМИ С ЗАКРЕПЛЕНИЕМ СИНТЕТИЧЕСКИМ ШНУРОМ</t>
  </si>
  <si>
    <t>100 М2 ТРУБОПРОВОДА</t>
  </si>
  <si>
    <t>26.1</t>
  </si>
  <si>
    <t>2562</t>
  </si>
  <si>
    <t>ЛЕБЕДКИ РУЧНЫЕ</t>
  </si>
  <si>
    <t>74265</t>
  </si>
  <si>
    <t>ШНУР ПВХ</t>
  </si>
  <si>
    <t>27</t>
  </si>
  <si>
    <t>ГЕОТЕКСТИЛЬ 300 Г/М2</t>
  </si>
  <si>
    <t>28</t>
  </si>
  <si>
    <t>Е2402-004-01</t>
  </si>
  <si>
    <t>МЕХАНИЧЕСКАЯ РЕЗКА ПОЛИЭТИЛЕНОВЫХ ТРУБ, ДИАМЕТР ТРУБЫ ДО 63 ММ</t>
  </si>
  <si>
    <t>КОНЕЦ</t>
  </si>
  <si>
    <t>28.1</t>
  </si>
  <si>
    <t>28.2</t>
  </si>
  <si>
    <t>3219</t>
  </si>
  <si>
    <t>НОЖНИЦЫ РУЧНЫЕ С ХРАПОВЫМ МЕХАНИЗМОМ ДЛЯ ПОЛИЭТИЛЕНОВЫХ ТРУБ ДИАМЕТРОМ ДО 63 ММ</t>
  </si>
  <si>
    <t>29</t>
  </si>
  <si>
    <t>ТРУБА ПОЛИЭТИЛЕНОВАЯ Ф63</t>
  </si>
  <si>
    <t>30</t>
  </si>
  <si>
    <t>Е0102-061-02</t>
  </si>
  <si>
    <t>ЗАСЫПКА ВРУЧНУЮ ТРАНШЕЙ, ПАЗУХ КОТЛОВАНОВ И ЯМ, ГРУППА ГРУНТОВ 2</t>
  </si>
  <si>
    <t>30.1</t>
  </si>
  <si>
    <t>31</t>
  </si>
  <si>
    <t>ГРАВИЙ</t>
  </si>
  <si>
    <t>ДЕМОНТАЖ БЕТОН</t>
  </si>
  <si>
    <t>32</t>
  </si>
  <si>
    <t>Е4606-010-03 ДОП. 11 ГОСАРХИТЕКТСТРОЙ РУЗ ПР. № 429 ОТ 15.12.17 Г.</t>
  </si>
  <si>
    <t>РАЗБИВКА БЕТОННЫХ КОНСТРУКЦИЙ ГИДРОМОЛОТОМ НM-960 С ПРИМЕНЕНИЕМ ЭКСКАВАТОРА "ЛИБХЕР R-924 В"</t>
  </si>
  <si>
    <t>10 М3</t>
  </si>
  <si>
    <t>32.1</t>
  </si>
  <si>
    <t>32.2</t>
  </si>
  <si>
    <t>32.3</t>
  </si>
  <si>
    <t>2466</t>
  </si>
  <si>
    <t>ЭКСКАВАТОР "ЛИБХЕР R-924 B" ОДНОКОВШОВЫЙ ДИЗЕЛЬНЫЙ НА ГУСЕНИЧНОМ ХОДУ ПРИ РАБОТЕ НА ДРУГИХ ВИДАХ СТРОИТЕЛЬСТВА 1,2 М3 С ГИДРОМОЛОТ "НМ-960"</t>
  </si>
  <si>
    <t>МАШ-Ч</t>
  </si>
  <si>
    <t>33</t>
  </si>
  <si>
    <t>Е0103-033-04 ДОП. 11 ГОСАРХИТЕКТСТРОЙ РУЗ ПР. № 429 ОТ 15.12.17 Г.. ТЧ П.3.258 КЗТР=1,2, КЭМ=1,2</t>
  </si>
  <si>
    <t>РАЗРАБОТКА ГРУНТА ПРИ УСТРОЙСТВЕ МЕЛИОРАТИВНЫХ ОБЪЕКТОВ, ДАМБ ОБВАЛОВАНИЯ, ПОДУШЕК ПОД МЕЛИОРАТИВНЫЕ КАНАЛЫ ОДНОКОВШОВЫМИ ГИДРАВЛИЧЕСКИМИ ЭКСКАВАТОРАМИ JY 230 ELD С РАБОЧИМ ОБОРУДОВАНИЕМ ОБРАТНАЯ ЛОПАТА ЕМКОСТЬЮ КОВША 0,8 М3 С ПРОЕКТНЫМ СЕЧЕНИЕМ МЕЛИОРАТИВНОГО КАНАЛА, ДО 4 М2 В ГРУНТАХ 4 ГРУППЫ. ПРИ РАЗРАБОТКЕ ЭКСКАВАТОРАМИ С ПОГРУЗКОЙ В АВТОСАМОСВАЛЫ, ПРИМЕНЕН КОЭФФИЦИЕНТ К НОРМАМ ЗАТРАТ ТРУДА-1,2 И НОРМАМ ЭКСПЛУАТАЦИИ МАШИН-1,2</t>
  </si>
  <si>
    <t>33.1</t>
  </si>
  <si>
    <t>34</t>
  </si>
  <si>
    <t>ПЕРЕВОЗКА ГРУЗОВ АВТОМОБИЛЕМ, РАССТОЯНИЕ ПЕРЕВОЗКИ 5 КМ, КЛАСС ГРУЗА 1/Y=2,45Т/М3/. ПРИ ПЕРЕВОЗКЕ АВТОСАМОСВАЛАМИ ГРУЗОПОДЪЕМНОСТЬЮ 25, ПРИМЕНЕН КОЭФФИЦИЕНТ К НОРМАМ ЗАТРАТ ТРУДА МАШИНИСТОВ И ЭКСПЛУАТАЦИИ МАШИН - 0,41</t>
  </si>
  <si>
    <t>34.1</t>
  </si>
  <si>
    <t>34.2</t>
  </si>
  <si>
    <t>35</t>
  </si>
  <si>
    <t>Е0101-015-04 К=6</t>
  </si>
  <si>
    <t>РЕМОНТ И СОДЕРЖАНИЕ ГРУНТОВЫХ ЗЕМЛЕВОЗНЫХ ДОРОГ НА КАЖДЫЕ 0,5 КМ ДЛИНЫ, ГРУППА ГРУНТОВ 4</t>
  </si>
  <si>
    <t>35.1</t>
  </si>
  <si>
    <t>35.2</t>
  </si>
  <si>
    <t>35.3</t>
  </si>
  <si>
    <t>ИТОГО ПО ЛОКАЛЬНОЙ РЕСУРСНОЙ ВЕДОМОСТИ:</t>
  </si>
  <si>
    <t>ТРУДОВЫЕ РЕСУРСЫ</t>
  </si>
  <si>
    <t>СТРОИТЕЛЬНЫЕ МАШИНЫ И МЕХАНИЗМЫ</t>
  </si>
  <si>
    <t>МАТЕРИАЛЬНЫЕ РЕСУРСЫ</t>
  </si>
  <si>
    <t>36</t>
  </si>
  <si>
    <t>37</t>
  </si>
  <si>
    <t>38</t>
  </si>
  <si>
    <t>39</t>
  </si>
  <si>
    <t>40</t>
  </si>
  <si>
    <t>41</t>
  </si>
  <si>
    <t>42</t>
  </si>
  <si>
    <t>43</t>
  </si>
  <si>
    <t>СТРОИТЕЛЬНЫЕ МАТЕРИАЛЫ И КОНСТРУКЦИИ</t>
  </si>
  <si>
    <t>44</t>
  </si>
  <si>
    <t>45</t>
  </si>
  <si>
    <t>46</t>
  </si>
  <si>
    <t>47</t>
  </si>
  <si>
    <t>48</t>
  </si>
  <si>
    <t>49</t>
  </si>
  <si>
    <t>50</t>
  </si>
  <si>
    <t>СОСТАВИЛ</t>
  </si>
  <si>
    <t>КУРБАНАЛИЕВ З.У.</t>
  </si>
  <si>
    <t>Форма N 6a</t>
  </si>
  <si>
    <t>ЛОКАЛЬНЫЙ РЕСУРСНЫЙ СМЕТНЫЙ РАСЧЕТ</t>
  </si>
  <si>
    <t xml:space="preserve">   № </t>
  </si>
  <si>
    <t xml:space="preserve">В базисных ценах </t>
  </si>
  <si>
    <t xml:space="preserve">В текущих ценах </t>
  </si>
  <si>
    <t>Сметная стоимость</t>
  </si>
  <si>
    <t>ТЫС.СУМ.</t>
  </si>
  <si>
    <t>--</t>
  </si>
  <si>
    <t>Составлен В ТЕКУЩИХ ЦЕНАХ</t>
  </si>
  <si>
    <t>СУМ</t>
  </si>
  <si>
    <t>в базисном уровне</t>
  </si>
  <si>
    <t>в текущем (прогнозном)</t>
  </si>
  <si>
    <t>на.ед.изм.</t>
  </si>
  <si>
    <t>общая</t>
  </si>
  <si>
    <t>ИТОГО ПО ЛОКАЛЬНОМУ РЕСУРСНОМУ РАСЧЕТУ, СОСТАВЛЕННОМУ НА ОСНОВЕ ЛОКАЛЬНОЙ РЕСУРСНОЙ ВЕДОМОСТИ N 1-1</t>
  </si>
  <si>
    <t>ИТОГО ПО ТРУДОВЫМ РЕСУРСАМ:</t>
  </si>
  <si>
    <t>ИТОГО ПО СТРОИТЕЛЬНЫМ МАШИНАМ:</t>
  </si>
  <si>
    <t>В Т.Ч. ЗАРАБОТНАЯ ПЛАТА МАШИНИСТОВ:</t>
  </si>
  <si>
    <t>ИТОГО ПО СТРОИТЕЛЬНЫМ МАТЕРИАЛАМ:</t>
  </si>
  <si>
    <t>ИТОГО ПРЯМЫЕ ЗАТРАТЫ</t>
  </si>
  <si>
    <t>НАКЛАДНЫЕ РАСХОДЫ -</t>
  </si>
  <si>
    <t>ИТОГО С НАКЛАДНЫМИ РАСХОДАМИ:</t>
  </si>
  <si>
    <t>СМЕТНАЯ ПРИБЫЛЬ:</t>
  </si>
  <si>
    <t>ИТОГО ПО РЕСУРСНОМУ РАСЧЕТУ:</t>
  </si>
  <si>
    <t>, YANGI-DARGOM KANALI РВТ 80-100</t>
  </si>
  <si>
    <t>Е0102-057-01 . ТЧ П.3.187 КЗТР=1,2</t>
  </si>
  <si>
    <t>РАЗРАБОТКА ГРУНТА ВРУЧНУЮ В ТРАНШЕЯХ ГЛУБИНОЙ ДО 2 М БЕЗ КРЕПЛЕНИЙ С ОТКОСАМИ, ГРУППА ГРУНТОВ 1. ДОРАБОТКА ВРУЧНУЮ, ЗАЧИСТКА ДНА И СТЕНОК С ВЫКИДКОЙ ГРУНТА В КОТЛОВАНАХ И ТРАНШЕЯХ, РАЗРАБОТАННЫХ МЕХАНИЗИРОВАННЫМ СПОСОБОМ, ПРИМЕНЕН КОЭФФИЦИЕНТ К НОРМАМ ЗАТРАТ ТРУДА - 1,2</t>
  </si>
  <si>
    <t>Е0101-031-02 . ТЧ П.3.76 КЭМ=0,85. ТЧ П.3.31 КЭМ=1,06</t>
  </si>
  <si>
    <t>РАЗРАБОТКА ГРУНТА С ПЕРЕМЕЩЕНИЕМ ДО 10 М БУЛЬДОЗЕРАМИ МОЩНОСТЬЮ 96 [130] КВТ [Л.С.], 2 ГРУППА ГРУНТОВ. /ИЗ ОТВАЛОВ ВЫЕМКИ/. РАНЕЕ РАЗРЫХЛЕННЫЕ ГРУНТЫ, ЗА ИСКЛЮЧЕНИЕМ ВЗОРВАННОЙ СКАЛЬНОЙ ПОРОДЫ, СЫПУЧИХ БАРХАННЫХ И ДЮННЫХ ПЕСКОВ, ПРИМЕНЕН КОЭФФИЦИЕНТ К НОРМАМ ЭКСПЛУАТАЦИИ МАШИН-0,85. ВОДОХОЗЯЙСТВЕННОЕ СТРОИТЕЛЬСТВО, ПРИМЕНЕН КОЭФФИЦИЕНТ К НОРМАМ ЭКСПЛУАТАЦИИ МАШИН-1,06</t>
  </si>
  <si>
    <t>Е0102-061-01</t>
  </si>
  <si>
    <t>ЗАСЫПКА ВРУЧНУЮ ТРАНШЕЙ, ПАЗУХ КОТЛОВАНОВ И ЯМ, ГРУППА ГРУНТОВ 1</t>
  </si>
  <si>
    <t>Е0102-002-03</t>
  </si>
  <si>
    <t>УПЛОТНЕНИЕ ГРУНТА ПРИЦЕПНЫМИ КУЛАЧКОВЫМИ КАТКАМИ 8 Т НА ПЕРВЫЙ ПРОХОД ПО ОДНОМУ СЛЕДУ ПРИ ТОЛЩИНЕ СЛОЯ 20 СМ /2 ПРОХОДА/</t>
  </si>
  <si>
    <t>258</t>
  </si>
  <si>
    <t>БУЛЬДОЗЕРЫ ПРИ РАБОТЕ НА ДРУГИХ ВИДАХ СТРОИТЕЛЬСТВА 79 (108) КВТ (Л.С.)</t>
  </si>
  <si>
    <t>5.3</t>
  </si>
  <si>
    <t>613</t>
  </si>
  <si>
    <t>КАТКИ ДОРОЖНЫЕ ПРИЦЕПНЫЕ КУЛАЧКОВЫЕ 8 Т</t>
  </si>
  <si>
    <t>5.4</t>
  </si>
  <si>
    <t>1835</t>
  </si>
  <si>
    <t>ТРАКТОРЫ НА ГУСЕНИЧНОМ ХОДУ 79 (108) КВТ (Л.С.)</t>
  </si>
  <si>
    <t>Е0102-002-06</t>
  </si>
  <si>
    <t>НА КАЖДЫЙ ПОСЛЕДУЮЩИЙ ПРОХОД ПО ОДНОМУ СЛЕДУ ДОБАВЛЯТЬ К НОРМЕ 01-02-002-3</t>
  </si>
  <si>
    <t>6.3</t>
  </si>
  <si>
    <t>Е0102-006-01</t>
  </si>
  <si>
    <t>ПОЛИВ ВОДОЙ УПЛОТНЯЕМОГО ГРУНТА НАСЫПЕЙ</t>
  </si>
  <si>
    <t>1135</t>
  </si>
  <si>
    <t>МАШИНЫ ПОЛИВОМОЕЧНЫЕ 6000 Л</t>
  </si>
  <si>
    <t>7.4</t>
  </si>
  <si>
    <t>ВХОДНАЯЯ КОРОБКА</t>
  </si>
  <si>
    <t>Е3701-013-01</t>
  </si>
  <si>
    <t>УСТРОЙСТВО БЕТОННОЙ ПОДГОТОВКИ ПРИ ПОДАЧЕ БЕТОННОЙ СМЕСИ АВТОСАМОСВАЛАМИ</t>
  </si>
  <si>
    <t>8.3</t>
  </si>
  <si>
    <t>8.4</t>
  </si>
  <si>
    <t>8.5</t>
  </si>
  <si>
    <t>8.6</t>
  </si>
  <si>
    <t>6312</t>
  </si>
  <si>
    <t>БЕТОН ТЯЖЕЛЫЙ КЛАССА В7,5 /М-100/ ФРАКЦИИ 5-20 ММ</t>
  </si>
  <si>
    <t>8.7</t>
  </si>
  <si>
    <t>8.8</t>
  </si>
  <si>
    <t>36057</t>
  </si>
  <si>
    <t>ПИЛОМАТЕРИАЛЫ ХВОЙНЫХ ПОРОД ДОСКИ ОБРЕЗНЫЕ ДЛИНОЙ 4-6,5 М, ШИРИНОЙ 75-150 ММ, ТОЛЩИНОЙ 32-40 ММ III СОРТА</t>
  </si>
  <si>
    <t>8.9</t>
  </si>
  <si>
    <t>44629</t>
  </si>
  <si>
    <t>ТКАНЬ МЕШОЧНАЯ</t>
  </si>
  <si>
    <t>10М2</t>
  </si>
  <si>
    <t>8.10</t>
  </si>
  <si>
    <t>Е3704-001-01</t>
  </si>
  <si>
    <t>УСТРОЙСТВО ПЛИТНЫХ ОСНОВАНИЙ</t>
  </si>
  <si>
    <t>9.3</t>
  </si>
  <si>
    <t>9.4</t>
  </si>
  <si>
    <t>9.5</t>
  </si>
  <si>
    <t>9.6</t>
  </si>
  <si>
    <t>9.7</t>
  </si>
  <si>
    <t>1199</t>
  </si>
  <si>
    <t>МОЛОТКИ ПРИ РАБОТЕ ОТ ПЕРЕДВИЖНЫХ КОМПРЕССОРНЫХ СТАНЦИЙ ОТБОЙНЫЕ ПНЕВМАТИЧЕСКИЕ</t>
  </si>
  <si>
    <t>9.8</t>
  </si>
  <si>
    <t>9.9</t>
  </si>
  <si>
    <t>9.10</t>
  </si>
  <si>
    <t>6326</t>
  </si>
  <si>
    <t>БЕТОН ТЯЖЕЛЫЙ КЛАССА В20 /М-250/ ФРАКЦИИ 5-10 ММ</t>
  </si>
  <si>
    <t>9.11</t>
  </si>
  <si>
    <t>22453</t>
  </si>
  <si>
    <t>РАСТВОР ГОТОВЫЙ КЛАДОЧНЫЙ ЦЕМЕНТНЫЙ, МАРКА: 100</t>
  </si>
  <si>
    <t>9.12</t>
  </si>
  <si>
    <t>9.13</t>
  </si>
  <si>
    <t>9.14</t>
  </si>
  <si>
    <t>32202</t>
  </si>
  <si>
    <t>МАСЛО ДИЗЕЛЬНОЕ МОТОРНОЕ М-10ДМ</t>
  </si>
  <si>
    <t>9.15</t>
  </si>
  <si>
    <t>36062</t>
  </si>
  <si>
    <t>ДОСКИ ОБРЕЗНЫЕ ХВОЙНЫХ ПОРОД ДЛИНОЙ 4-6,5 М, ШИРИНОЙ 75-150 ММ, ТОЛЩИНОЙ 44 ММ И БОЛЕЕ, IV СОРТА</t>
  </si>
  <si>
    <t>9.16</t>
  </si>
  <si>
    <t>9.17</t>
  </si>
  <si>
    <t>Е3704-001-03</t>
  </si>
  <si>
    <t>УСТРОЙСТВО БЫЧКОВ, УСТОЕВ ЩИТОВЫХ И ДРУГИХ СТЕНОК</t>
  </si>
  <si>
    <t>10.5</t>
  </si>
  <si>
    <t>10.6</t>
  </si>
  <si>
    <t>10.7</t>
  </si>
  <si>
    <t>1760</t>
  </si>
  <si>
    <t>ВИБРАТОРЫ ГЛУБИННЫЕ ПНЕВМАТИЧЕСКИЕ</t>
  </si>
  <si>
    <t>10.8</t>
  </si>
  <si>
    <t>10.9</t>
  </si>
  <si>
    <t>10.10</t>
  </si>
  <si>
    <t>10.11</t>
  </si>
  <si>
    <t>10.12</t>
  </si>
  <si>
    <t>30322</t>
  </si>
  <si>
    <t>БОЛТЫ СТРОИТЕЛЬНЫЕ С ГАЙКАМИ И ШАЙБАМИ</t>
  </si>
  <si>
    <t>10.13</t>
  </si>
  <si>
    <t>10.14</t>
  </si>
  <si>
    <t>10.15</t>
  </si>
  <si>
    <t>10.16</t>
  </si>
  <si>
    <t>36008</t>
  </si>
  <si>
    <t>ЛЕСОМАТЕРИАЛЫ КРУГЛЫЕ ХВОЙНЫХ ПОРОД ДЛЯ СТРОИТЕЛЬСТВА ДИАМЕТРОМ 14-24 СМ, ДЛИНОЙ 3-6,5 М</t>
  </si>
  <si>
    <t>10.17</t>
  </si>
  <si>
    <t>36058</t>
  </si>
  <si>
    <t>ПИЛОМАТЕРИАЛЫ ХВОЙНЫХ ПОРОД ДОСКИ ОБРЕЗНЫЕ ДЛИНОЙ 4-6,5 М, ШИРИНОЙ 75-150 ММ, ТОЛЩИНОЙ 32-40 ММ IV СОРТА</t>
  </si>
  <si>
    <t>10.18</t>
  </si>
  <si>
    <t>10.19</t>
  </si>
  <si>
    <t>10.20</t>
  </si>
  <si>
    <t>УСТРОЙСТВО БЫЧКОВ, УСТОЕВ ЩИТОВЫХ И ДРУГИХ СТЕНОК/ЗАБРАННАЯ СТЕНКА/</t>
  </si>
  <si>
    <t>11.3</t>
  </si>
  <si>
    <t>11.4</t>
  </si>
  <si>
    <t>11.5</t>
  </si>
  <si>
    <t>11.6</t>
  </si>
  <si>
    <t>11.7</t>
  </si>
  <si>
    <t>11.8</t>
  </si>
  <si>
    <t>11.9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</si>
  <si>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</si>
  <si>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</si>
  <si>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</si>
  <si>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</si>
  <si>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</si>
  <si>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</si>
  <si>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</si>
  <si>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</si>
  <si>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</si>
  <si>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</si>
  <si>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11.20</t>
  </si>
  <si>
    <t>Е3704-003-02</t>
  </si>
  <si>
    <t>УСТАНОВКИ АРМАТУРЫ ИЗ ОТДЕЛЬНЫХ СТЕРЖНЕЙ</t>
  </si>
  <si>
    <t>100Т</t>
  </si>
  <si>
    <t>127</t>
  </si>
  <si>
    <t>АГРЕГАТЫ СВАРОЧНЫЕ ПЕРЕДВИЖНЫЕ С НОМИНАЛЬНЫМ СВАРОЧНЫМ ТОКОМ 250-400 А С БЕНЗИНОВЫМ ДВИГАТЕЛЕМ</t>
  </si>
  <si>
    <t>12.4</t>
  </si>
  <si>
    <t>12.5</t>
  </si>
  <si>
    <t>12.6</t>
  </si>
  <si>
    <t>32543</t>
  </si>
  <si>
    <t>ПРОВОЛОКА СВЕТЛАЯ ДИАМЕТРОМ 1,1 ММ</t>
  </si>
  <si>
    <t>12.7</t>
  </si>
  <si>
    <t>С</t>
  </si>
  <si>
    <t>АРМАТУРА AIII Ф 10 ММ</t>
  </si>
  <si>
    <t>ВЯЗАЛЬНАЯ ПРОВОЛКА</t>
  </si>
  <si>
    <t>ОБЛИЦОВКА СЛИВА</t>
  </si>
  <si>
    <t>15.3</t>
  </si>
  <si>
    <t>15.4</t>
  </si>
  <si>
    <t>15.5</t>
  </si>
  <si>
    <t>15.6</t>
  </si>
  <si>
    <t>15.7</t>
  </si>
  <si>
    <t>15.8</t>
  </si>
  <si>
    <t>15.9</t>
  </si>
  <si>
    <t>15.10</t>
  </si>
  <si>
    <t>6324</t>
  </si>
  <si>
    <t>БЕТОН ТЯЖЕЛЫЙ КЛАССА В15 /М-200/ ФРАКЦИИ 20-40 ММ</t>
  </si>
  <si>
    <t>15.11</t>
  </si>
  <si>
    <t>15.12</t>
  </si>
  <si>
    <t>15.13</t>
  </si>
  <si>
    <t>15.14</t>
  </si>
  <si>
    <t>15.15</t>
  </si>
  <si>
    <t>15.16</t>
  </si>
  <si>
    <t>15.17</t>
  </si>
  <si>
    <t>Е3704-001-02</t>
  </si>
  <si>
    <t>УСТРОЙСТВО ОТКОСОВ</t>
  </si>
  <si>
    <t>16.3</t>
  </si>
  <si>
    <t>16.4</t>
  </si>
  <si>
    <t>16.5</t>
  </si>
  <si>
    <t>16.6</t>
  </si>
  <si>
    <t>16.7</t>
  </si>
  <si>
    <t>16.8</t>
  </si>
  <si>
    <t>16.9</t>
  </si>
  <si>
    <t>16.10</t>
  </si>
  <si>
    <t>16.11</t>
  </si>
  <si>
    <t>16.12</t>
  </si>
  <si>
    <t>16.13</t>
  </si>
  <si>
    <t>16.14</t>
  </si>
  <si>
    <t>16.15</t>
  </si>
  <si>
    <t>16.16</t>
  </si>
  <si>
    <t>16.17</t>
  </si>
  <si>
    <t>17.13</t>
  </si>
  <si>
    <t>17.14</t>
  </si>
  <si>
    <t>17.15</t>
  </si>
  <si>
    <t>17.16</t>
  </si>
  <si>
    <t>17.17</t>
  </si>
  <si>
    <t>Е2301-001-04</t>
  </si>
  <si>
    <t>УСТРОЙСТВО ОСНОВАНИЯ БЕТОННОГО</t>
  </si>
  <si>
    <t>10М3</t>
  </si>
  <si>
    <t>18.5</t>
  </si>
  <si>
    <t>1932</t>
  </si>
  <si>
    <t>18.6</t>
  </si>
  <si>
    <t>18.7</t>
  </si>
  <si>
    <t>18.8</t>
  </si>
  <si>
    <t>22003</t>
  </si>
  <si>
    <t>БЕТОН ТЯЖЕЛЫЙ, КЛАСС В 7,5 (М100)</t>
  </si>
  <si>
    <t>18.9</t>
  </si>
  <si>
    <t>18.10</t>
  </si>
  <si>
    <t>35516</t>
  </si>
  <si>
    <t>РОГОЖА</t>
  </si>
  <si>
    <t>18.11</t>
  </si>
  <si>
    <t>36052</t>
  </si>
  <si>
    <t>ПИЛОМАТЕРИАЛЫ ХВОЙНЫХ ПОРОД ДОСКИ ОБРЕЗНЫЕ ДЛИНОЙ 4-6,5 М, ШИРИНОЙ 75-150 ММ, ТОЛЩИНОЙ 25 ММ II СОРТА</t>
  </si>
  <si>
    <t>Е3704-002-13</t>
  </si>
  <si>
    <t>УСТРОЙСТВО КОНСТРУКЦИЙ ИЗ СБОРНОГО ЖЕЛЕЗОБЕТОНА ТРУБ</t>
  </si>
  <si>
    <t>19.1</t>
  </si>
  <si>
    <t>19.2</t>
  </si>
  <si>
    <t>19.3</t>
  </si>
  <si>
    <t>19.4</t>
  </si>
  <si>
    <t>19.5</t>
  </si>
  <si>
    <t>19.6</t>
  </si>
  <si>
    <t>913</t>
  </si>
  <si>
    <t>КОТЛЫ БИТУМНЫЕ ПЕРЕДВИЖНЫЕ 400 Л</t>
  </si>
  <si>
    <t>19.7</t>
  </si>
  <si>
    <t>19.8</t>
  </si>
  <si>
    <t>19.9</t>
  </si>
  <si>
    <t>30103</t>
  </si>
  <si>
    <t>БИТУМЫ НЕФТЯНЫЕ СТРОИТЕЛЬНЫЕ МАРКИ БН-70/30</t>
  </si>
  <si>
    <t>19.10</t>
  </si>
  <si>
    <t>19.11</t>
  </si>
  <si>
    <t>19.12</t>
  </si>
  <si>
    <t>19.13</t>
  </si>
  <si>
    <t>38617</t>
  </si>
  <si>
    <t>ПАКЛЯ ПРОПИТАННАЯ</t>
  </si>
  <si>
    <t>19.14</t>
  </si>
  <si>
    <t>41268</t>
  </si>
  <si>
    <t>ДЕТАЛИ АНКЕРНЫЕ</t>
  </si>
  <si>
    <t>ТРУБА Ж/Б РТ-8Н-25</t>
  </si>
  <si>
    <t>ШТ</t>
  </si>
  <si>
    <t>ТРУБА Ж/Б РТ-10Н-25</t>
  </si>
  <si>
    <t>Е2709-004-01</t>
  </si>
  <si>
    <t>УСТАНОВКА СТОЛБИКОВ СИГНАЛЬНЫХ ЖЕЛЕЗОБЕТОННЫХ</t>
  </si>
  <si>
    <t>100ШТ.</t>
  </si>
  <si>
    <t>23.1</t>
  </si>
  <si>
    <t>23.2</t>
  </si>
  <si>
    <t>23.3</t>
  </si>
  <si>
    <t>23.4</t>
  </si>
  <si>
    <t>1070</t>
  </si>
  <si>
    <t>МАШИНЫ БУРИЛЬНО-КРАНОВЫЕ НА АВТОМОБИЛЕ ГЛУБИНОЙ БУРЕНИЯ 3,5 М</t>
  </si>
  <si>
    <t>23.5</t>
  </si>
  <si>
    <t>31434</t>
  </si>
  <si>
    <t>ГРУНТОВКА</t>
  </si>
  <si>
    <t>23.6</t>
  </si>
  <si>
    <t>31445</t>
  </si>
  <si>
    <t>КРАСКИ ПЕРХЛОРВИНИЛОВЫЕ</t>
  </si>
  <si>
    <t>23.7</t>
  </si>
  <si>
    <t>35550</t>
  </si>
  <si>
    <t>ФОЛЬГА АЛЮМИНИЕВАЯ ДЛЯ ТЕХНИЧЕСКИХ ЦЕЛЕЙ МЯГКАЯ, РУЛОННАЯ, ТОЛЩИНОЙ 0,1 ММ</t>
  </si>
  <si>
    <t>23.8</t>
  </si>
  <si>
    <t>40462</t>
  </si>
  <si>
    <t>СМОЛА ЭПОКСИДНАЯ МАРКИ ЭД-20</t>
  </si>
  <si>
    <t>23.9</t>
  </si>
  <si>
    <t>443701</t>
  </si>
  <si>
    <t>СИГНАЛЬНЫЕ СТОЛБИКИ С-14</t>
  </si>
  <si>
    <t>МЕТАЛЛОКОНСТРУКЦИИ</t>
  </si>
  <si>
    <t>ЗАТВОР ПС80-150Р</t>
  </si>
  <si>
    <t>Ц2202-040-01</t>
  </si>
  <si>
    <t>ЗАТВОР ПЛОСКИЙ ГАБАРИТНЫЙ СКОЛЬЗЯЩИЙ И КОЛЕСНЫЙ, МАССА: ДО 1 Т/ЗАТВОР + ПОДЪЕМНИК НА ПК70+23/</t>
  </si>
  <si>
    <t>24.1</t>
  </si>
  <si>
    <t>24.2</t>
  </si>
  <si>
    <t>24.3</t>
  </si>
  <si>
    <t>24.4</t>
  </si>
  <si>
    <t>24.5</t>
  </si>
  <si>
    <t>777</t>
  </si>
  <si>
    <t>КРАНЫ НА ГУСЕНИЧНОМ ХОДУ ПРИ РАБОТЕ НА ГИДРОЭНЕРГЕТИЧЕСКОМ СТРОИТЕЛЬСТВЕ ДО 16 Т</t>
  </si>
  <si>
    <t>24.6</t>
  </si>
  <si>
    <t>1147</t>
  </si>
  <si>
    <t>МАШИНЫ ШЛИФОВАЛЬНЫЕ ЭЛЕКТРИЧЕСКИЕ</t>
  </si>
  <si>
    <t>24.7</t>
  </si>
  <si>
    <t>1803</t>
  </si>
  <si>
    <t>ТЕЛЕЖКИ МОНТАЖНЫЕ ПЕРЕГОННЫЕ ОТКРЫТОГО СПОСОБА РАБОТ</t>
  </si>
  <si>
    <t>24.8</t>
  </si>
  <si>
    <t>24.9</t>
  </si>
  <si>
    <t>2381</t>
  </si>
  <si>
    <t>ЭЛЕКТРОКАЛОРИФЕРЫ</t>
  </si>
  <si>
    <t>24.10</t>
  </si>
  <si>
    <t>2510</t>
  </si>
  <si>
    <t>АВТОМОБИЛИ БОРТОВЫЕ ГРУЗОПОДЪЕМНОСТЬЮ ДО 8 Т</t>
  </si>
  <si>
    <t>24.11</t>
  </si>
  <si>
    <t>2577</t>
  </si>
  <si>
    <t>АППАРАТЫ ДЛЯ ГАЗОВОЙ СВАРКИ И РЕЗКИ</t>
  </si>
  <si>
    <t>24.12</t>
  </si>
  <si>
    <t>30133</t>
  </si>
  <si>
    <t>СМОЛА КАМЕННОУГОЛЬНАЯ ДЛЯ ДОРОЖНОГО СТРОИТЕЛЬСТВА</t>
  </si>
  <si>
    <t>24.13</t>
  </si>
  <si>
    <t>30225</t>
  </si>
  <si>
    <t>ШЛИФОВАЛЬНАЯ БУМАГА</t>
  </si>
  <si>
    <t>24.14</t>
  </si>
  <si>
    <t>31517</t>
  </si>
  <si>
    <t>РАСТВОРИТЕЛИ ДЛЯ ЛАКОКРАСОЧНЫХ МАТЕРИАЛОВ N 649</t>
  </si>
  <si>
    <t>24.15</t>
  </si>
  <si>
    <t>31691</t>
  </si>
  <si>
    <t>КЛЕЙ РЕЗИНОВЫЙ П-9</t>
  </si>
  <si>
    <t>24.16</t>
  </si>
  <si>
    <t>33501</t>
  </si>
  <si>
    <t>СОРТОВОЙ И ФАСОННЫЙ ГОРЯЧЕКАТАНЫЙ ПРОКАТ ИЗ СТАЛИ УГЛЕРОДИСТОЙ ОБЫКНОВЕННОГО КАЧЕСТВА ПОЛОСОВОЙ, ТОЛЩИНОЙ 10-75 ММ ПРИ ШИРИНЕ 100-200 ММ СТАЛЬ МАРКИ СТ6СП</t>
  </si>
  <si>
    <t>24.17</t>
  </si>
  <si>
    <t>34241</t>
  </si>
  <si>
    <t>КИСЛОРОД ТЕХНИЧЕСКИЙ ГАЗООБРАЗНЫЙ</t>
  </si>
  <si>
    <t>24.18</t>
  </si>
  <si>
    <t>34277</t>
  </si>
  <si>
    <t>СПИРТ ЭТИЛОВЫЙ РЕКТИФИКОВАННЫЙ ТЕХНИЧЕСКИЙ СОРТ I</t>
  </si>
  <si>
    <t>24.19</t>
  </si>
  <si>
    <t>35318</t>
  </si>
  <si>
    <t>ЭЛЕКТРОДЫ ДИАМЕТРОМ 5 ММ Э42</t>
  </si>
  <si>
    <t>24.20</t>
  </si>
  <si>
    <t>38871</t>
  </si>
  <si>
    <t>ШПАЛЫ НЕПРОПИТАННЫЕ ДЛЯ ЖЕЛЕЗНЫХ ДОРОГ 1 ТИП</t>
  </si>
  <si>
    <t>24.21</t>
  </si>
  <si>
    <t>41029</t>
  </si>
  <si>
    <t>РЕЗИНА СЫРАЯ</t>
  </si>
  <si>
    <t>24.22</t>
  </si>
  <si>
    <t>45077</t>
  </si>
  <si>
    <t>ПРОПАН-БУТАН, СМЕСЬ ТЕХНИЧЕСКАЯ</t>
  </si>
  <si>
    <t>ЗАТВОР ПС80-80 + ПОДЪЕМНИК 2,5В</t>
  </si>
  <si>
    <t>Е1306-003-01</t>
  </si>
  <si>
    <t>ОЧИСТКА ПОВЕРХНОСТИ ЩЕТКАМИ</t>
  </si>
  <si>
    <t>М2 ОЧИЩАЕМОЙ ПОВЕРХНОСТИ</t>
  </si>
  <si>
    <t>Е1306-004-01</t>
  </si>
  <si>
    <t>ОБЕСПЫЛИВАНИЕ ПОВЕРХНОСТИ ПРИ ПОМОЩИ ПРОМЫШЛЕННОГО ПЫЛЕСОСА</t>
  </si>
  <si>
    <t>100 М2 ОБЕСПЫЛИВАЕМОЙ ПОВЕРХНОСТИ</t>
  </si>
  <si>
    <t>27.1</t>
  </si>
  <si>
    <t>27.2</t>
  </si>
  <si>
    <t>3008</t>
  </si>
  <si>
    <t>ПЫЛЕСОСЫ ПРОМЫШЛЕННЫЕ</t>
  </si>
  <si>
    <t>Е1307-001-02</t>
  </si>
  <si>
    <t>ОБЕЗЖИРИВАНИЕ ПОВЕРХНОСТЕЙ АППАРАТОВ И ТРУБОПРОВОДОВ ДИАМЕТРОМ ДО 500 ММ УАЙТ-СПИРИТОМ</t>
  </si>
  <si>
    <t>100 М2 ОБЕЗЖИРИВАЕМОЙ ПОВЕРХНОСТИ</t>
  </si>
  <si>
    <t>28.3</t>
  </si>
  <si>
    <t>28.4</t>
  </si>
  <si>
    <t>975</t>
  </si>
  <si>
    <t>ЛЕБЕДКИ ЭЛЕКТРИЧЕСКИЕ, ТЯГОВЫМ УСИЛИЕМ ДО 5,79 (0,59) КН (Т)</t>
  </si>
  <si>
    <t>28.5</t>
  </si>
  <si>
    <t>28.6</t>
  </si>
  <si>
    <t>34035</t>
  </si>
  <si>
    <t>УАЙТ-СПИРИТ</t>
  </si>
  <si>
    <t>28.7</t>
  </si>
  <si>
    <t>44059</t>
  </si>
  <si>
    <t>ВЕТОШЬ</t>
  </si>
  <si>
    <t>Е1303-002-01 К=2</t>
  </si>
  <si>
    <t>ОГРУНТОВКА МЕТАЛЛИЧЕСКИХ ПОВЕРХНОСТЕЙ ЗА ОДИН РАЗ ГРУНТОВКОЙ ХС-068</t>
  </si>
  <si>
    <t>100 М2 ОКРАШИВАЕМОЙ ПОВЕРХНОСТИ</t>
  </si>
  <si>
    <t>29.1</t>
  </si>
  <si>
    <t>29.2</t>
  </si>
  <si>
    <t>29.3</t>
  </si>
  <si>
    <t>29.4</t>
  </si>
  <si>
    <t>29.5</t>
  </si>
  <si>
    <t>29.6</t>
  </si>
  <si>
    <t>2515</t>
  </si>
  <si>
    <t>АГРЕГАТЫ ОКРАСОЧНЫЕ ВЫСОКОГО ДАВЛЕНИЯ ДЛЯ ОКРАСКИ ПОВЕРХНОСТЕЙ КОНСТРУКЦИЙ МОЩНОСТЬЮ 1 КВТ</t>
  </si>
  <si>
    <t>29.7</t>
  </si>
  <si>
    <t>31429</t>
  </si>
  <si>
    <t>ГРУНТОВКА ХС-068 КРАСНО-КОРИЧНЕВАЯ</t>
  </si>
  <si>
    <t>29.8</t>
  </si>
  <si>
    <t>31524</t>
  </si>
  <si>
    <t>РАСТВОРИТЕЛЬ МАРКИ Р-4</t>
  </si>
  <si>
    <t>Е1303-004-06 К=5</t>
  </si>
  <si>
    <t>ОКРАСКА МЕТАЛЛИЧЕСКИХ ОГРУНТОВАННЫХ ПОВЕРХНОСТЕЙ ЭМАЛЬЮ ХВ-124</t>
  </si>
  <si>
    <t>30.2</t>
  </si>
  <si>
    <t>30.3</t>
  </si>
  <si>
    <t>30.4</t>
  </si>
  <si>
    <t>30.5</t>
  </si>
  <si>
    <t>30.6</t>
  </si>
  <si>
    <t>30.7</t>
  </si>
  <si>
    <t>30.8</t>
  </si>
  <si>
    <t>31775</t>
  </si>
  <si>
    <t>ЭМАЛЬ ХВ-124 ГОЛУБАЯ</t>
  </si>
  <si>
    <t>ЗАТВОР ПЛОСКИЙ ГАБАРИТНЫЙ СКОЛЬЗЯЩИЙ И КОЛЕСНЫЙ, МАССА: ДО 1 Т/ЗАТВОР + ПОДЪЕМНИК НА ПК93+40/</t>
  </si>
  <si>
    <t>31.1</t>
  </si>
  <si>
    <t>31.2</t>
  </si>
  <si>
    <t>31.3</t>
  </si>
  <si>
    <t>31.4</t>
  </si>
  <si>
    <t>31.5</t>
  </si>
  <si>
    <t>31.6</t>
  </si>
  <si>
    <t>31.7</t>
  </si>
  <si>
    <t>31.8</t>
  </si>
  <si>
    <t>31.9</t>
  </si>
  <si>
    <t>31.10</t>
  </si>
  <si>
    <t>31.11</t>
  </si>
  <si>
    <t>31.12</t>
  </si>
  <si>
    <t>31.13</t>
  </si>
  <si>
    <t>31.14</t>
  </si>
  <si>
    <t>31.15</t>
  </si>
  <si>
    <t>31.16</t>
  </si>
  <si>
    <t>31.17</t>
  </si>
  <si>
    <t>31.18</t>
  </si>
  <si>
    <t>31.19</t>
  </si>
  <si>
    <t>31.20</t>
  </si>
  <si>
    <t>31.21</t>
  </si>
  <si>
    <t>31.22</t>
  </si>
  <si>
    <t>ЗАТВОР ГС80-80 + ПОДЪЕМНИК 2,5В</t>
  </si>
  <si>
    <t>35.4</t>
  </si>
  <si>
    <t>35.5</t>
  </si>
  <si>
    <t>35.6</t>
  </si>
  <si>
    <t>35.7</t>
  </si>
  <si>
    <t>36.1</t>
  </si>
  <si>
    <t>36.2</t>
  </si>
  <si>
    <t>36.3</t>
  </si>
  <si>
    <t>36.4</t>
  </si>
  <si>
    <t>36.5</t>
  </si>
  <si>
    <t>36.6</t>
  </si>
  <si>
    <t>36.7</t>
  </si>
  <si>
    <t>36.8</t>
  </si>
  <si>
    <t>37.1</t>
  </si>
  <si>
    <t>37.2</t>
  </si>
  <si>
    <t>37.3</t>
  </si>
  <si>
    <t>37.4</t>
  </si>
  <si>
    <t>37.5</t>
  </si>
  <si>
    <t>37.6</t>
  </si>
  <si>
    <t>37.7</t>
  </si>
  <si>
    <t>37.8</t>
  </si>
  <si>
    <t>ЗАТВОР ПЛОСКИЙ ГАБАРИТНЫЙ СКОЛЬЗЯЩИЙ И КОЛЕСНЫЙ, МАССА: ДО 1 Т/ЗАТВОР + ПОДЪЕМНИК НА ПК81+87/</t>
  </si>
  <si>
    <t>38.1</t>
  </si>
  <si>
    <t>38.2</t>
  </si>
  <si>
    <t>38.3</t>
  </si>
  <si>
    <t>38.4</t>
  </si>
  <si>
    <t>38.5</t>
  </si>
  <si>
    <t>38.6</t>
  </si>
  <si>
    <t>38.7</t>
  </si>
  <si>
    <t>38.8</t>
  </si>
  <si>
    <t>38.9</t>
  </si>
  <si>
    <t>38.10</t>
  </si>
  <si>
    <t>38.11</t>
  </si>
  <si>
    <t>38.12</t>
  </si>
  <si>
    <t>38.13</t>
  </si>
  <si>
    <t>38.14</t>
  </si>
  <si>
    <t>38.15</t>
  </si>
  <si>
    <t>38.16</t>
  </si>
  <si>
    <t>38.17</t>
  </si>
  <si>
    <t>38.18</t>
  </si>
  <si>
    <t>38.19</t>
  </si>
  <si>
    <t>38.20</t>
  </si>
  <si>
    <t>38.21</t>
  </si>
  <si>
    <t>38.22</t>
  </si>
  <si>
    <t>40.1</t>
  </si>
  <si>
    <t>41.1</t>
  </si>
  <si>
    <t>41.2</t>
  </si>
  <si>
    <t>42.1</t>
  </si>
  <si>
    <t>42.2</t>
  </si>
  <si>
    <t>42.3</t>
  </si>
  <si>
    <t>42.4</t>
  </si>
  <si>
    <t>42.5</t>
  </si>
  <si>
    <t>42.6</t>
  </si>
  <si>
    <t>42.7</t>
  </si>
  <si>
    <t>43.1</t>
  </si>
  <si>
    <t>43.2</t>
  </si>
  <si>
    <t>43.3</t>
  </si>
  <si>
    <t>43.4</t>
  </si>
  <si>
    <t>43.5</t>
  </si>
  <si>
    <t>43.6</t>
  </si>
  <si>
    <t>43.7</t>
  </si>
  <si>
    <t>43.8</t>
  </si>
  <si>
    <t>44.1</t>
  </si>
  <si>
    <t>44.2</t>
  </si>
  <si>
    <t>44.3</t>
  </si>
  <si>
    <t>44.4</t>
  </si>
  <si>
    <t>44.5</t>
  </si>
  <si>
    <t>44.6</t>
  </si>
  <si>
    <t>44.7</t>
  </si>
  <si>
    <t>44.8</t>
  </si>
  <si>
    <t>ЗАТВОР ПЛОСКИЙ ГАБАРИТНЫЙ СКОЛЬЗЯЩИЙ И КОЛЕСНЫЙ, МАССА: ДО 1 Т/ЗАТВОР + ПОДЪЕМНИК/</t>
  </si>
  <si>
    <t>45.1</t>
  </si>
  <si>
    <t>45.2</t>
  </si>
  <si>
    <t>45.3</t>
  </si>
  <si>
    <t>45.4</t>
  </si>
  <si>
    <t>45.5</t>
  </si>
  <si>
    <t>45.6</t>
  </si>
  <si>
    <t>45.7</t>
  </si>
  <si>
    <t>45.8</t>
  </si>
  <si>
    <t>45.9</t>
  </si>
  <si>
    <t>45.10</t>
  </si>
  <si>
    <t>45.11</t>
  </si>
  <si>
    <t>45.12</t>
  </si>
  <si>
    <t>45.13</t>
  </si>
  <si>
    <t>45.14</t>
  </si>
  <si>
    <t>45.15</t>
  </si>
  <si>
    <t>45.16</t>
  </si>
  <si>
    <t>45.17</t>
  </si>
  <si>
    <t>45.18</t>
  </si>
  <si>
    <t>45.19</t>
  </si>
  <si>
    <t>45.20</t>
  </si>
  <si>
    <t>45.21</t>
  </si>
  <si>
    <t>45.22</t>
  </si>
  <si>
    <t>ЗАТВОР ГС100-250Р + ПОДЪЕМНИК 2,5В</t>
  </si>
  <si>
    <t>Е4101-004-07</t>
  </si>
  <si>
    <t>ОКЛЕЕЧНАЯ ИЗОЛЯЦИЯ ВЕРТИКАЛЬНОЙ БЕТОННОЙ ПОВЕРХНОСТИ РУЛОННЫМ МАТЕРИАЛОМ В ДВА СЛОЯ</t>
  </si>
  <si>
    <t>100М2</t>
  </si>
  <si>
    <t>47.1</t>
  </si>
  <si>
    <t>47.2</t>
  </si>
  <si>
    <t>47.3</t>
  </si>
  <si>
    <t>47.4</t>
  </si>
  <si>
    <t>47.5</t>
  </si>
  <si>
    <t>1416</t>
  </si>
  <si>
    <t>МАШИНЫ ОБЩЕСТРОИТЕЛЬНЫЕ БИТУМОЗАПРАВЩИКИ 4 Т</t>
  </si>
  <si>
    <t>47.6</t>
  </si>
  <si>
    <t>2499</t>
  </si>
  <si>
    <t>47.7</t>
  </si>
  <si>
    <t>47.8</t>
  </si>
  <si>
    <t>45031</t>
  </si>
  <si>
    <t>РАСТВОР ЦЕМЕНТНЫЙ МАРКА ПО ПРОЕКТУ</t>
  </si>
  <si>
    <t>Е4101-016-02</t>
  </si>
  <si>
    <t>ПРИГОТОВЛЕНИЕ РАЗЖИЖЕННОГО БИТУМА РБ-1</t>
  </si>
  <si>
    <t>1Т</t>
  </si>
  <si>
    <t>48.1</t>
  </si>
  <si>
    <t>48.2</t>
  </si>
  <si>
    <t>48.3</t>
  </si>
  <si>
    <t>48.4</t>
  </si>
  <si>
    <t>863</t>
  </si>
  <si>
    <t>КОТЛЫ БИТУМНЫЕ ПЕРЕДВИЖНЫЕ 1000 Л</t>
  </si>
  <si>
    <t>48.5</t>
  </si>
  <si>
    <t>1613</t>
  </si>
  <si>
    <t>РАСТВОРОСМЕСИТЕЛИ ПЕРЕДВИЖНЫЕ 80 Л</t>
  </si>
  <si>
    <t>48.6</t>
  </si>
  <si>
    <t>48.7</t>
  </si>
  <si>
    <t>30101</t>
  </si>
  <si>
    <t>БИТУМЫ НЕФТЯНЫЕ СТРОИТЕЛЬНЫЕ ИЗОЛЯЦИОННЫЕ БНИ-IV-3, БНИ-IV, БНИ-V</t>
  </si>
  <si>
    <t>48.8</t>
  </si>
  <si>
    <t>31519</t>
  </si>
  <si>
    <t>БЕНЗИН РАСТВОРИТЕЛЬ</t>
  </si>
  <si>
    <t>Е4101-016-08</t>
  </si>
  <si>
    <t>ПРИГОТОВЛЕНИЕ ГОРЯЧЕЙ АСФАЛЬТОВОЙ МАСТИКИ АМ-3</t>
  </si>
  <si>
    <t>49.1</t>
  </si>
  <si>
    <t>49.2</t>
  </si>
  <si>
    <t>49.3</t>
  </si>
  <si>
    <t>49.4</t>
  </si>
  <si>
    <t>49.5</t>
  </si>
  <si>
    <t>49.6</t>
  </si>
  <si>
    <t>49.7</t>
  </si>
  <si>
    <t>44411</t>
  </si>
  <si>
    <t>ПОРОШОК КВАРЦЕВЫЙ</t>
  </si>
  <si>
    <t>49.8</t>
  </si>
  <si>
    <t>58144</t>
  </si>
  <si>
    <t>АСБЕСТ ХРИЗОТИЛОВЫЙ МАРКИ П-6-30</t>
  </si>
  <si>
    <t>ПОЛИИЗОЛ</t>
  </si>
  <si>
    <t>51</t>
  </si>
  <si>
    <t>Е4201-004-04</t>
  </si>
  <si>
    <t>КРЕПЛЕНИЕ ОТКОСОВ КАМНЕМ НАСУХО ИЗ КАМЕННОЙ НАБРОСКИ</t>
  </si>
  <si>
    <t>51.1</t>
  </si>
  <si>
    <t>51.2</t>
  </si>
  <si>
    <t>51.3</t>
  </si>
  <si>
    <t>51.4</t>
  </si>
  <si>
    <t>52</t>
  </si>
  <si>
    <t>Ц2202-040-01 . СРН4.17.00-05 П.5=0,3</t>
  </si>
  <si>
    <t>ЗАТВОР ПЛОСКИЙ ГАБАРИТНЫЙ СКОЛЬЗЯЩИЙ И КОЛЕСНЫЙ, МАССА: ДО 1 Т/ДЕМОНТАЖ/.</t>
  </si>
  <si>
    <t>52.1</t>
  </si>
  <si>
    <t>52.2</t>
  </si>
  <si>
    <t>52.3</t>
  </si>
  <si>
    <t>52.4</t>
  </si>
  <si>
    <t>52.5</t>
  </si>
  <si>
    <t>52.6</t>
  </si>
  <si>
    <t>52.7</t>
  </si>
  <si>
    <t>52.8</t>
  </si>
  <si>
    <t>52.9</t>
  </si>
  <si>
    <t>52.10</t>
  </si>
  <si>
    <t>52.11</t>
  </si>
  <si>
    <t>53</t>
  </si>
  <si>
    <t>ВОЗВРАТ МЕТАЛЛОЛОМА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</si>
  <si>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</si>
  <si>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</si>
  <si>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</si>
  <si>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</si>
  <si>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</si>
  <si>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</si>
  <si>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</si>
  <si>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</si>
  <si>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</si>
  <si>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</si>
  <si>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</si>
  <si>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</si>
  <si>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</si>
  <si>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</si>
  <si>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</si>
  <si>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</si>
  <si>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</si>
  <si>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</si>
  <si>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</si>
  <si>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</si>
  <si>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</si>
  <si>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</si>
  <si>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</si>
  <si>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</si>
  <si>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</si>
  <si>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</si>
  <si>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</si>
  <si>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</si>
  <si>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</si>
  <si>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</si>
  <si>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</si>
  <si>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</si>
  <si>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</si>
  <si>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</si>
  <si>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</si>
  <si>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</si>
  <si>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</si>
  <si>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</si>
  <si>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</si>
  <si>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</si>
  <si>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</si>
  <si>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ОБОРУДОВАНИЕ</t>
  </si>
  <si>
    <t>95</t>
  </si>
  <si>
    <t>96</t>
  </si>
  <si>
    <t>97</t>
  </si>
  <si>
    <t>ВОЗВРАЩАЕМЫЕ РЕСУРСЫ</t>
  </si>
  <si>
    <t>257329,308</t>
  </si>
  <si>
    <t>ИТОГО ОБОРУДОВАНИЕ:</t>
  </si>
  <si>
    <t>ИТОГО ВОЗВРАЩАЕМЫЕ РЕСУРСЫ</t>
  </si>
  <si>
    <t>1-3</t>
  </si>
  <si>
    <t>, СЛУЖЕБНЫЙ МОСТИК</t>
  </si>
  <si>
    <t>Е3704-001-07</t>
  </si>
  <si>
    <t>УСТРОЙСТВО ПРОЛЕТНЫХ СТРОЕНИЙ СЛУЖЕБНЫХ МОСТИКОВ</t>
  </si>
  <si>
    <t>1.3</t>
  </si>
  <si>
    <t>1.4</t>
  </si>
  <si>
    <t>1.5</t>
  </si>
  <si>
    <t>1.6</t>
  </si>
  <si>
    <t>1.7</t>
  </si>
  <si>
    <t>1.8</t>
  </si>
  <si>
    <t>1.9</t>
  </si>
  <si>
    <t>6328</t>
  </si>
  <si>
    <t>БЕТОН ТЯЖЕЛЫЙ КЛАССА В20 /М-250/ ФРАКЦИИ 10-20 ММ</t>
  </si>
  <si>
    <t>1.10</t>
  </si>
  <si>
    <t>1.11</t>
  </si>
  <si>
    <t>1.12</t>
  </si>
  <si>
    <t>1.13</t>
  </si>
  <si>
    <t>1.14</t>
  </si>
  <si>
    <t>1.15</t>
  </si>
  <si>
    <t>1.16</t>
  </si>
  <si>
    <t>1.17</t>
  </si>
  <si>
    <t>2.3</t>
  </si>
  <si>
    <t>2.4</t>
  </si>
  <si>
    <t>2.5</t>
  </si>
  <si>
    <t>2.6</t>
  </si>
  <si>
    <t>2.7</t>
  </si>
  <si>
    <t>2.8</t>
  </si>
  <si>
    <t>44011</t>
  </si>
  <si>
    <t>АРМАТУРА</t>
  </si>
  <si>
    <t>ЗАТВОР ВХН 3,8Х4,2</t>
  </si>
  <si>
    <t>3.4</t>
  </si>
  <si>
    <t>3.5</t>
  </si>
  <si>
    <t>3.6</t>
  </si>
  <si>
    <t>3.7</t>
  </si>
  <si>
    <t>3.8</t>
  </si>
  <si>
    <t>3.9</t>
  </si>
  <si>
    <t>3.10</t>
  </si>
  <si>
    <t>3.11</t>
  </si>
  <si>
    <t>ВОЗВРАТ МЕТАЛЛОЛОМ 100%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</si>
  <si>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</si>
  <si>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</si>
  <si>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</si>
  <si>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</si>
  <si>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</si>
  <si>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</si>
  <si>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</si>
  <si>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</si>
  <si>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</si>
  <si>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</si>
  <si>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</si>
  <si>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</si>
  <si>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</si>
  <si>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</si>
  <si>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</si>
  <si>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</si>
  <si>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5.21</t>
  </si>
  <si>
    <t>5.22</t>
  </si>
  <si>
    <t>ЗАТВОР ВХН 3,8Х4,2 + ПОДЪЕМНИК</t>
  </si>
  <si>
    <t>ИСПОЛНИТЕЛЬ</t>
  </si>
  <si>
    <t>174209,92</t>
  </si>
  <si>
    <t>ИТОГО ПО ЛОКАЛЬНОМУ РЕСУРСНОМУ РАСЧЕТУ, СОСТАВЛЕННОМУ НА ОСНОВЕ ЛОКАЛЬНОЙ РЕСУРСНОЙ ВЕДОМОСТИ N 1-3</t>
  </si>
  <si>
    <t>44897</t>
  </si>
  <si>
    <t>ШЛИФКРУГИ</t>
  </si>
  <si>
    <t>2.9</t>
  </si>
  <si>
    <t>2.10</t>
  </si>
  <si>
    <t>1-6</t>
  </si>
  <si>
    <t>, МОСТ НА ПК 75+34</t>
  </si>
  <si>
    <t>Е3008-001-01</t>
  </si>
  <si>
    <t>УСТАНОВКА СТАЛЬНЫХ СВАРНЫХ ПЕРИЛ НА МОСТАХ И ПУТЕПРОВОДАХ</t>
  </si>
  <si>
    <t>969</t>
  </si>
  <si>
    <t>ЛЕБЕДКИ РУЧНЫЕ И РЫЧАЖНЫЕ, ТЯГОВЫМ УСИЛИЕМ 31,39 (3,2) КН (Т)</t>
  </si>
  <si>
    <t>30956</t>
  </si>
  <si>
    <t>КРАСКИ МАСЛЯНЫЕ ЗЕМЛЯНЫЕ МА-0115 МУМИЯ, СУРИК ЖЕЛЕЗНЫЙ</t>
  </si>
  <si>
    <t>31650</t>
  </si>
  <si>
    <t>ОЛИФА КОМБИНИРОВАННАЯ К-2</t>
  </si>
  <si>
    <t>2.11</t>
  </si>
  <si>
    <t>50785</t>
  </si>
  <si>
    <t>КОНСТРУКЦИИ СТАЛЬНЫЕ: ПЕРИЛ</t>
  </si>
  <si>
    <t>22.10</t>
  </si>
  <si>
    <t>22.9</t>
  </si>
  <si>
    <t>22.8</t>
  </si>
  <si>
    <t>22.7</t>
  </si>
  <si>
    <t>12895825,937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</si>
</sst>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_-* #,##0.00\ _₽_-;\-* #,##0.00\ _₽_-;_-* &quot;-&quot;??\ _₽_-;_-@_-"/>
    <numFmt numFmtId="172" formatCode="#,##0.0######"/>
  </numFmts>
  <fonts count="29" x14ac:knownFonts="1"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9"/>
      <name val="Times New Roman Cyr"/>
      <family val="1"/>
      <charset val="204"/>
    </font>
    <font>
      <sz val="8"/>
      <name val="Arial"/>
      <family val="2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1"/>
      <name val="Times New Roman Cyr"/>
      <charset val="204"/>
    </font>
    <font>
      <b/>
      <sz val="9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sz val="9"/>
      <name val="Times New Roman Cyr"/>
      <charset val="204"/>
    </font>
    <font>
      <b/>
      <sz val="9"/>
      <name val="Times New Roman Cyr"/>
      <charset val="204"/>
    </font>
    <font>
      <b/>
      <sz val="10"/>
      <name val="Times New Roman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rgb="FF800080"/>
      <name val="Times New Roman Cyr"/>
      <charset val="204"/>
    </font>
    <font>
      <sz val="9"/>
      <color rgb="FF003300"/>
      <name val="Times New Roman Cyr"/>
      <charset val="204"/>
    </font>
    <font>
      <sz val="10"/>
      <color rgb="FF003300"/>
      <name val="Times New Roman Cyr"/>
      <charset val="204"/>
    </font>
    <font>
      <sz val="10"/>
      <color rgb="FF000080"/>
      <name val="Times New Roman Cyr"/>
      <charset val="204"/>
    </font>
    <font>
      <sz val="9"/>
      <color rgb="FF000080"/>
      <name val="Times New Roman Cyr"/>
      <charset val="204"/>
    </font>
    <font>
      <b/>
      <sz val="9"/>
      <color rgb="FF333333"/>
      <name val="Times New Roman Cyr"/>
      <family val="1"/>
      <charset val="204"/>
    </font>
    <font>
      <b/>
      <sz val="9"/>
      <color rgb="FF333333"/>
      <name val="Times New Roman Cyr"/>
      <charset val="204"/>
    </font>
    <font>
      <b/>
      <sz val="10"/>
      <color rgb="FF333333"/>
      <name val="Times New Roman Cyr"/>
      <charset val="204"/>
    </font>
    <font>
      <sz val="10"/>
      <color rgb="FFFF0000"/>
      <name val="Times New Roman Cyr"/>
      <family val="1"/>
      <charset val="204"/>
    </font>
    <font>
      <sz val="10"/>
      <color theme="1"/>
      <name val="Times New Roman Cyr"/>
      <family val="1"/>
      <charset val="204"/>
    </font>
    <font>
      <b/>
      <sz val="12"/>
      <color rgb="FF333333"/>
      <name val="Times New Roman Cyr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99"/>
        <bgColor rgb="FFCCFFFF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dashed">
        <color rgb="FF333399"/>
      </top>
      <bottom style="hair">
        <color rgb="FF000000"/>
      </bottom>
      <diagonal/>
    </border>
    <border>
      <left/>
      <right style="hair">
        <color rgb="FF000000"/>
      </right>
      <top style="dashed">
        <color rgb="FF333399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C0C0C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dashed">
        <color rgb="FF333399"/>
      </bottom>
      <diagonal/>
    </border>
    <border>
      <left/>
      <right style="hair">
        <color rgb="FF000000"/>
      </right>
      <top style="hair">
        <color rgb="FF000000"/>
      </top>
      <bottom style="dashed">
        <color rgb="FF333399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indexed="64"/>
      </left>
      <right/>
      <top style="thin">
        <color indexed="64"/>
      </top>
      <bottom style="hair">
        <color rgb="FF000000"/>
      </bottom>
      <diagonal/>
    </border>
    <border>
      <left/>
      <right/>
      <top style="thin">
        <color indexed="64"/>
      </top>
      <bottom style="hair">
        <color rgb="FF000000"/>
      </bottom>
      <diagonal/>
    </border>
    <border>
      <left/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hair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0" fontId="1" fillId="0" borderId="0"/>
    <xf numFmtId="0" fontId="13" fillId="0" borderId="0"/>
    <xf numFmtId="0" fontId="1" fillId="0" borderId="0"/>
    <xf numFmtId="0" fontId="13" fillId="0" borderId="0"/>
    <xf numFmtId="0" fontId="14" fillId="0" borderId="0"/>
    <xf numFmtId="0" fontId="15" fillId="0" borderId="0"/>
    <xf numFmtId="0" fontId="17" fillId="0" borderId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</cellStyleXfs>
  <cellXfs count="194">
    <xf numFmtId="0" fontId="0" fillId="0" borderId="0" xfId="0"/>
    <xf numFmtId="0" fontId="1" fillId="0" borderId="0" xfId="1" applyFont="1" applyAlignment="1">
      <alignment vertical="top"/>
    </xf>
    <xf numFmtId="0" fontId="1" fillId="0" borderId="0" xfId="1" applyFont="1" applyAlignment="1">
      <alignment horizontal="right" vertical="top"/>
    </xf>
    <xf numFmtId="0" fontId="2" fillId="0" borderId="0" xfId="1" applyFont="1" applyAlignment="1">
      <alignment horizontal="center" vertical="top" wrapText="1"/>
    </xf>
    <xf numFmtId="0" fontId="1" fillId="0" borderId="0" xfId="1" applyFont="1" applyAlignment="1">
      <alignment horizontal="left" vertical="top"/>
    </xf>
    <xf numFmtId="0" fontId="1" fillId="0" borderId="0" xfId="1" applyFont="1" applyAlignment="1">
      <alignment horizontal="center" vertical="top"/>
    </xf>
    <xf numFmtId="0" fontId="4" fillId="0" borderId="0" xfId="1" applyFont="1" applyAlignment="1">
      <alignment horizontal="right" vertical="top"/>
    </xf>
    <xf numFmtId="0" fontId="2" fillId="0" borderId="0" xfId="1" applyFont="1" applyAlignment="1">
      <alignment horizontal="right" vertical="top"/>
    </xf>
    <xf numFmtId="0" fontId="2" fillId="0" borderId="0" xfId="1" applyFont="1" applyAlignment="1">
      <alignment vertical="top"/>
    </xf>
    <xf numFmtId="0" fontId="1" fillId="0" borderId="0" xfId="1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center"/>
    </xf>
    <xf numFmtId="0" fontId="1" fillId="0" borderId="0" xfId="1" applyFont="1"/>
    <xf numFmtId="0" fontId="1" fillId="0" borderId="6" xfId="1" applyFont="1" applyBorder="1" applyAlignment="1">
      <alignment horizontal="left" vertical="top" wrapText="1"/>
    </xf>
    <xf numFmtId="0" fontId="1" fillId="0" borderId="7" xfId="1" applyFont="1" applyBorder="1" applyAlignment="1">
      <alignment horizontal="left" vertical="top" wrapText="1"/>
    </xf>
    <xf numFmtId="0" fontId="1" fillId="0" borderId="8" xfId="1" applyFont="1" applyBorder="1" applyAlignment="1">
      <alignment horizontal="left" vertical="top" wrapText="1"/>
    </xf>
    <xf numFmtId="0" fontId="8" fillId="0" borderId="9" xfId="1" applyFont="1" applyBorder="1" applyAlignment="1">
      <alignment horizontal="center" vertical="top" wrapText="1"/>
    </xf>
    <xf numFmtId="0" fontId="8" fillId="0" borderId="10" xfId="1" applyFont="1" applyBorder="1" applyAlignment="1">
      <alignment horizontal="left" vertical="top" wrapText="1"/>
    </xf>
    <xf numFmtId="0" fontId="8" fillId="0" borderId="10" xfId="1" applyFont="1" applyBorder="1" applyAlignment="1">
      <alignment horizontal="center" vertical="top" wrapText="1"/>
    </xf>
    <xf numFmtId="2" fontId="1" fillId="0" borderId="0" xfId="1" applyNumberFormat="1" applyFont="1" applyAlignment="1">
      <alignment horizontal="right" vertical="top"/>
    </xf>
    <xf numFmtId="49" fontId="18" fillId="0" borderId="11" xfId="1" applyNumberFormat="1" applyFont="1" applyBorder="1" applyAlignment="1">
      <alignment horizontal="center" vertical="top" wrapText="1"/>
    </xf>
    <xf numFmtId="0" fontId="18" fillId="0" borderId="12" xfId="1" applyFont="1" applyBorder="1" applyAlignment="1">
      <alignment horizontal="center" vertical="top" wrapText="1"/>
    </xf>
    <xf numFmtId="0" fontId="18" fillId="0" borderId="12" xfId="1" applyFont="1" applyBorder="1" applyAlignment="1">
      <alignment horizontal="left" vertical="top" wrapText="1" indent="2"/>
    </xf>
    <xf numFmtId="172" fontId="18" fillId="0" borderId="12" xfId="1" applyNumberFormat="1" applyFont="1" applyBorder="1" applyAlignment="1">
      <alignment horizontal="right" vertical="top"/>
    </xf>
    <xf numFmtId="0" fontId="9" fillId="0" borderId="0" xfId="1" applyFont="1" applyAlignment="1">
      <alignment vertical="top"/>
    </xf>
    <xf numFmtId="49" fontId="19" fillId="0" borderId="11" xfId="1" applyNumberFormat="1" applyFont="1" applyBorder="1" applyAlignment="1">
      <alignment horizontal="center" vertical="top" wrapText="1"/>
    </xf>
    <xf numFmtId="0" fontId="19" fillId="0" borderId="12" xfId="1" applyFont="1" applyBorder="1" applyAlignment="1">
      <alignment horizontal="center" vertical="top" wrapText="1"/>
    </xf>
    <xf numFmtId="0" fontId="19" fillId="0" borderId="12" xfId="1" applyFont="1" applyBorder="1" applyAlignment="1">
      <alignment horizontal="left" vertical="top" wrapText="1" indent="2"/>
    </xf>
    <xf numFmtId="172" fontId="19" fillId="0" borderId="12" xfId="1" applyNumberFormat="1" applyFont="1" applyBorder="1" applyAlignment="1">
      <alignment horizontal="right" vertical="top"/>
    </xf>
    <xf numFmtId="0" fontId="20" fillId="0" borderId="0" xfId="1" applyFont="1" applyAlignment="1">
      <alignment vertical="top"/>
    </xf>
    <xf numFmtId="49" fontId="18" fillId="0" borderId="13" xfId="1" applyNumberFormat="1" applyFont="1" applyBorder="1" applyAlignment="1">
      <alignment horizontal="center" vertical="top" wrapText="1"/>
    </xf>
    <xf numFmtId="0" fontId="18" fillId="0" borderId="8" xfId="1" applyFont="1" applyBorder="1" applyAlignment="1">
      <alignment horizontal="center" vertical="top" wrapText="1"/>
    </xf>
    <xf numFmtId="0" fontId="18" fillId="0" borderId="8" xfId="1" applyFont="1" applyBorder="1" applyAlignment="1">
      <alignment horizontal="left" vertical="top" wrapText="1" indent="2"/>
    </xf>
    <xf numFmtId="172" fontId="18" fillId="0" borderId="8" xfId="1" applyNumberFormat="1" applyFont="1" applyBorder="1" applyAlignment="1">
      <alignment horizontal="right" vertical="top"/>
    </xf>
    <xf numFmtId="0" fontId="21" fillId="0" borderId="0" xfId="1" applyFont="1" applyAlignment="1">
      <alignment vertical="top"/>
    </xf>
    <xf numFmtId="49" fontId="22" fillId="0" borderId="11" xfId="1" applyNumberFormat="1" applyFont="1" applyBorder="1" applyAlignment="1">
      <alignment horizontal="center" vertical="top" wrapText="1"/>
    </xf>
    <xf numFmtId="0" fontId="22" fillId="0" borderId="12" xfId="1" applyFont="1" applyBorder="1" applyAlignment="1">
      <alignment horizontal="center" vertical="top" wrapText="1"/>
    </xf>
    <xf numFmtId="0" fontId="22" fillId="0" borderId="12" xfId="1" applyFont="1" applyBorder="1" applyAlignment="1">
      <alignment horizontal="left" vertical="top" wrapText="1" indent="2"/>
    </xf>
    <xf numFmtId="172" fontId="22" fillId="0" borderId="12" xfId="1" applyNumberFormat="1" applyFont="1" applyBorder="1" applyAlignment="1">
      <alignment horizontal="right" vertical="top"/>
    </xf>
    <xf numFmtId="49" fontId="19" fillId="0" borderId="13" xfId="1" applyNumberFormat="1" applyFont="1" applyBorder="1" applyAlignment="1">
      <alignment horizontal="center" vertical="top" wrapText="1"/>
    </xf>
    <xf numFmtId="0" fontId="19" fillId="0" borderId="8" xfId="1" applyFont="1" applyBorder="1" applyAlignment="1">
      <alignment horizontal="center" vertical="top" wrapText="1"/>
    </xf>
    <xf numFmtId="0" fontId="19" fillId="0" borderId="8" xfId="1" applyFont="1" applyBorder="1" applyAlignment="1">
      <alignment horizontal="left" vertical="top" wrapText="1" indent="2"/>
    </xf>
    <xf numFmtId="172" fontId="19" fillId="0" borderId="8" xfId="1" applyNumberFormat="1" applyFont="1" applyBorder="1" applyAlignment="1">
      <alignment horizontal="right" vertical="top"/>
    </xf>
    <xf numFmtId="3" fontId="18" fillId="0" borderId="12" xfId="1" applyNumberFormat="1" applyFont="1" applyBorder="1" applyAlignment="1">
      <alignment horizontal="right" vertical="top"/>
    </xf>
    <xf numFmtId="3" fontId="22" fillId="0" borderId="12" xfId="1" applyNumberFormat="1" applyFont="1" applyBorder="1" applyAlignment="1">
      <alignment horizontal="right" vertical="top"/>
    </xf>
    <xf numFmtId="49" fontId="22" fillId="0" borderId="13" xfId="1" applyNumberFormat="1" applyFont="1" applyBorder="1" applyAlignment="1">
      <alignment horizontal="center" vertical="top" wrapText="1"/>
    </xf>
    <xf numFmtId="0" fontId="22" fillId="0" borderId="8" xfId="1" applyFont="1" applyBorder="1" applyAlignment="1">
      <alignment horizontal="center" vertical="top" wrapText="1"/>
    </xf>
    <xf numFmtId="0" fontId="22" fillId="0" borderId="8" xfId="1" applyFont="1" applyBorder="1" applyAlignment="1">
      <alignment horizontal="left" vertical="top" wrapText="1" indent="2"/>
    </xf>
    <xf numFmtId="3" fontId="22" fillId="0" borderId="8" xfId="1" applyNumberFormat="1" applyFont="1" applyBorder="1" applyAlignment="1">
      <alignment horizontal="right" vertical="top"/>
    </xf>
    <xf numFmtId="172" fontId="22" fillId="0" borderId="8" xfId="1" applyNumberFormat="1" applyFont="1" applyBorder="1" applyAlignment="1">
      <alignment horizontal="right" vertical="top"/>
    </xf>
    <xf numFmtId="0" fontId="2" fillId="2" borderId="14" xfId="1" applyFont="1" applyFill="1" applyBorder="1" applyAlignment="1">
      <alignment horizontal="center" vertical="top" wrapText="1"/>
    </xf>
    <xf numFmtId="2" fontId="8" fillId="2" borderId="14" xfId="1" applyNumberFormat="1" applyFont="1" applyFill="1" applyBorder="1" applyAlignment="1">
      <alignment horizontal="right" vertical="top"/>
    </xf>
    <xf numFmtId="0" fontId="8" fillId="2" borderId="15" xfId="1" applyFont="1" applyFill="1" applyBorder="1" applyAlignment="1">
      <alignment horizontal="right" vertical="top"/>
    </xf>
    <xf numFmtId="0" fontId="2" fillId="2" borderId="6" xfId="1" applyFont="1" applyFill="1" applyBorder="1" applyAlignment="1">
      <alignment horizontal="center" vertical="top" wrapText="1"/>
    </xf>
    <xf numFmtId="0" fontId="2" fillId="2" borderId="7" xfId="1" applyFont="1" applyFill="1" applyBorder="1" applyAlignment="1">
      <alignment horizontal="left" vertical="top" wrapText="1"/>
    </xf>
    <xf numFmtId="0" fontId="7" fillId="2" borderId="7" xfId="1" applyFont="1" applyFill="1" applyBorder="1" applyAlignment="1">
      <alignment horizontal="left" vertical="top" wrapText="1" indent="2"/>
    </xf>
    <xf numFmtId="0" fontId="2" fillId="2" borderId="7" xfId="1" applyFont="1" applyFill="1" applyBorder="1" applyAlignment="1">
      <alignment horizontal="center" vertical="top" wrapText="1"/>
    </xf>
    <xf numFmtId="0" fontId="8" fillId="2" borderId="7" xfId="1" applyFont="1" applyFill="1" applyBorder="1" applyAlignment="1">
      <alignment horizontal="right" vertical="top" wrapText="1"/>
    </xf>
    <xf numFmtId="0" fontId="8" fillId="2" borderId="8" xfId="1" applyFont="1" applyFill="1" applyBorder="1" applyAlignment="1">
      <alignment horizontal="right" vertical="top" wrapText="1"/>
    </xf>
    <xf numFmtId="0" fontId="10" fillId="0" borderId="13" xfId="1" applyFont="1" applyBorder="1" applyAlignment="1">
      <alignment horizontal="center" vertical="top" wrapText="1"/>
    </xf>
    <xf numFmtId="0" fontId="10" fillId="0" borderId="8" xfId="1" applyFont="1" applyBorder="1" applyAlignment="1">
      <alignment horizontal="left" vertical="top" wrapText="1"/>
    </xf>
    <xf numFmtId="0" fontId="10" fillId="0" borderId="8" xfId="1" applyFont="1" applyBorder="1" applyAlignment="1">
      <alignment horizontal="center" vertical="top" wrapText="1"/>
    </xf>
    <xf numFmtId="0" fontId="9" fillId="0" borderId="8" xfId="1" applyFont="1" applyBorder="1" applyAlignment="1">
      <alignment horizontal="right" vertical="top" wrapText="1"/>
    </xf>
    <xf numFmtId="172" fontId="9" fillId="0" borderId="8" xfId="1" applyNumberFormat="1" applyFont="1" applyBorder="1" applyAlignment="1">
      <alignment horizontal="right" vertical="top" wrapText="1"/>
    </xf>
    <xf numFmtId="0" fontId="1" fillId="0" borderId="16" xfId="1" applyFont="1" applyBorder="1" applyAlignment="1">
      <alignment vertical="top"/>
    </xf>
    <xf numFmtId="0" fontId="5" fillId="0" borderId="0" xfId="1" applyFont="1" applyAlignment="1">
      <alignment vertical="top" wrapText="1"/>
    </xf>
    <xf numFmtId="0" fontId="1" fillId="0" borderId="0" xfId="1" applyFont="1" applyAlignment="1">
      <alignment horizontal="left"/>
    </xf>
    <xf numFmtId="0" fontId="1" fillId="0" borderId="17" xfId="1" applyFont="1" applyBorder="1" applyAlignment="1">
      <alignment vertical="top"/>
    </xf>
    <xf numFmtId="0" fontId="1" fillId="0" borderId="17" xfId="1" applyFont="1" applyBorder="1" applyAlignment="1">
      <alignment horizontal="left" vertical="top"/>
    </xf>
    <xf numFmtId="0" fontId="1" fillId="0" borderId="17" xfId="1" applyFont="1" applyBorder="1" applyAlignment="1">
      <alignment horizontal="right" vertical="top"/>
    </xf>
    <xf numFmtId="0" fontId="1" fillId="0" borderId="18" xfId="1" applyFont="1" applyBorder="1" applyAlignment="1">
      <alignment horizontal="right" vertical="top"/>
    </xf>
    <xf numFmtId="0" fontId="2" fillId="2" borderId="19" xfId="1" applyFont="1" applyFill="1" applyBorder="1" applyAlignment="1">
      <alignment horizontal="center" vertical="center" wrapText="1"/>
    </xf>
    <xf numFmtId="0" fontId="7" fillId="2" borderId="20" xfId="1" applyFont="1" applyFill="1" applyBorder="1" applyAlignment="1">
      <alignment horizontal="center" vertical="center" wrapText="1"/>
    </xf>
    <xf numFmtId="0" fontId="7" fillId="2" borderId="21" xfId="1" applyFont="1" applyFill="1" applyBorder="1" applyAlignment="1">
      <alignment horizontal="center" vertical="center" wrapText="1"/>
    </xf>
    <xf numFmtId="0" fontId="7" fillId="2" borderId="22" xfId="1" applyFont="1" applyFill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left" vertical="top" wrapText="1"/>
    </xf>
    <xf numFmtId="0" fontId="7" fillId="0" borderId="7" xfId="1" applyFont="1" applyBorder="1" applyAlignment="1">
      <alignment horizontal="left" vertical="top" wrapText="1" indent="1"/>
    </xf>
    <xf numFmtId="0" fontId="2" fillId="0" borderId="7" xfId="1" applyFont="1" applyBorder="1" applyAlignment="1">
      <alignment horizontal="center" vertical="top" wrapText="1"/>
    </xf>
    <xf numFmtId="0" fontId="8" fillId="0" borderId="7" xfId="1" applyFont="1" applyBorder="1" applyAlignment="1">
      <alignment horizontal="right" vertical="top" wrapText="1"/>
    </xf>
    <xf numFmtId="2" fontId="8" fillId="0" borderId="7" xfId="1" applyNumberFormat="1" applyFont="1" applyBorder="1" applyAlignment="1">
      <alignment horizontal="right" vertical="top" wrapText="1"/>
    </xf>
    <xf numFmtId="0" fontId="8" fillId="0" borderId="8" xfId="1" applyFont="1" applyBorder="1" applyAlignment="1">
      <alignment horizontal="right" vertical="top" wrapText="1"/>
    </xf>
    <xf numFmtId="0" fontId="2" fillId="0" borderId="13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left" vertical="top" wrapText="1"/>
    </xf>
    <xf numFmtId="0" fontId="2" fillId="0" borderId="8" xfId="1" applyFont="1" applyBorder="1" applyAlignment="1">
      <alignment horizontal="center" vertical="top" wrapText="1"/>
    </xf>
    <xf numFmtId="172" fontId="8" fillId="0" borderId="8" xfId="1" applyNumberFormat="1" applyFont="1" applyBorder="1" applyAlignment="1">
      <alignment horizontal="right" vertical="top" wrapText="1"/>
    </xf>
    <xf numFmtId="172" fontId="1" fillId="0" borderId="8" xfId="1" applyNumberFormat="1" applyFont="1" applyBorder="1" applyAlignment="1">
      <alignment horizontal="right" vertical="top" wrapText="1"/>
    </xf>
    <xf numFmtId="3" fontId="8" fillId="0" borderId="8" xfId="1" applyNumberFormat="1" applyFont="1" applyBorder="1" applyAlignment="1">
      <alignment horizontal="right" vertical="top" wrapText="1"/>
    </xf>
    <xf numFmtId="0" fontId="1" fillId="0" borderId="8" xfId="1" applyFont="1" applyBorder="1" applyAlignment="1">
      <alignment horizontal="right" vertical="top" wrapText="1"/>
    </xf>
    <xf numFmtId="2" fontId="8" fillId="0" borderId="8" xfId="1" applyNumberFormat="1" applyFont="1" applyBorder="1" applyAlignment="1">
      <alignment horizontal="right" vertical="top" wrapText="1"/>
    </xf>
    <xf numFmtId="0" fontId="11" fillId="2" borderId="6" xfId="1" applyFont="1" applyFill="1" applyBorder="1" applyAlignment="1">
      <alignment horizontal="center" vertical="top" wrapText="1"/>
    </xf>
    <xf numFmtId="0" fontId="11" fillId="2" borderId="8" xfId="1" applyFont="1" applyFill="1" applyBorder="1" applyAlignment="1">
      <alignment horizontal="center" vertical="top" wrapText="1"/>
    </xf>
    <xf numFmtId="0" fontId="12" fillId="2" borderId="8" xfId="1" applyFont="1" applyFill="1" applyBorder="1" applyAlignment="1">
      <alignment horizontal="right" vertical="top" wrapText="1"/>
    </xf>
    <xf numFmtId="1" fontId="12" fillId="2" borderId="8" xfId="1" applyNumberFormat="1" applyFont="1" applyFill="1" applyBorder="1" applyAlignment="1">
      <alignment horizontal="right" vertical="top" wrapText="1"/>
    </xf>
    <xf numFmtId="3" fontId="1" fillId="0" borderId="8" xfId="1" applyNumberFormat="1" applyFont="1" applyBorder="1" applyAlignment="1">
      <alignment horizontal="right" vertical="top" wrapText="1"/>
    </xf>
    <xf numFmtId="0" fontId="2" fillId="2" borderId="8" xfId="1" applyFont="1" applyFill="1" applyBorder="1" applyAlignment="1">
      <alignment horizontal="center" vertical="top" wrapText="1"/>
    </xf>
    <xf numFmtId="1" fontId="8" fillId="2" borderId="8" xfId="1" applyNumberFormat="1" applyFont="1" applyFill="1" applyBorder="1" applyAlignment="1">
      <alignment horizontal="right" vertical="top" wrapText="1"/>
    </xf>
    <xf numFmtId="3" fontId="18" fillId="0" borderId="8" xfId="1" applyNumberFormat="1" applyFont="1" applyBorder="1" applyAlignment="1">
      <alignment horizontal="right" vertical="top"/>
    </xf>
    <xf numFmtId="3" fontId="19" fillId="0" borderId="12" xfId="1" applyNumberFormat="1" applyFont="1" applyBorder="1" applyAlignment="1">
      <alignment horizontal="right" vertical="top"/>
    </xf>
    <xf numFmtId="3" fontId="19" fillId="0" borderId="8" xfId="1" applyNumberFormat="1" applyFont="1" applyBorder="1" applyAlignment="1">
      <alignment horizontal="right" vertical="top"/>
    </xf>
    <xf numFmtId="3" fontId="9" fillId="0" borderId="8" xfId="1" applyNumberFormat="1" applyFont="1" applyBorder="1" applyAlignment="1">
      <alignment horizontal="right" vertical="top" wrapText="1"/>
    </xf>
    <xf numFmtId="0" fontId="23" fillId="0" borderId="7" xfId="1" applyFont="1" applyBorder="1" applyAlignment="1">
      <alignment horizontal="left" vertical="top" wrapText="1" indent="2"/>
    </xf>
    <xf numFmtId="0" fontId="23" fillId="0" borderId="7" xfId="1" applyFont="1" applyBorder="1" applyAlignment="1">
      <alignment horizontal="left" vertical="top" wrapText="1" indent="1"/>
    </xf>
    <xf numFmtId="0" fontId="24" fillId="0" borderId="6" xfId="1" applyFont="1" applyBorder="1" applyAlignment="1">
      <alignment horizontal="center" vertical="top" wrapText="1"/>
    </xf>
    <xf numFmtId="0" fontId="24" fillId="0" borderId="8" xfId="1" applyFont="1" applyBorder="1" applyAlignment="1">
      <alignment horizontal="center" vertical="top" wrapText="1"/>
    </xf>
    <xf numFmtId="0" fontId="25" fillId="0" borderId="8" xfId="1" applyFont="1" applyBorder="1" applyAlignment="1">
      <alignment horizontal="right" vertical="top" wrapText="1"/>
    </xf>
    <xf numFmtId="1" fontId="25" fillId="0" borderId="8" xfId="1" applyNumberFormat="1" applyFont="1" applyBorder="1" applyAlignment="1">
      <alignment horizontal="right" vertical="top" wrapText="1"/>
    </xf>
    <xf numFmtId="0" fontId="24" fillId="3" borderId="6" xfId="1" applyFont="1" applyFill="1" applyBorder="1" applyAlignment="1">
      <alignment horizontal="center" vertical="top" wrapText="1"/>
    </xf>
    <xf numFmtId="0" fontId="24" fillId="3" borderId="8" xfId="1" applyFont="1" applyFill="1" applyBorder="1" applyAlignment="1">
      <alignment horizontal="center" vertical="top" wrapText="1"/>
    </xf>
    <xf numFmtId="0" fontId="25" fillId="3" borderId="8" xfId="1" applyFont="1" applyFill="1" applyBorder="1" applyAlignment="1">
      <alignment horizontal="right" vertical="top" wrapText="1"/>
    </xf>
    <xf numFmtId="1" fontId="25" fillId="3" borderId="8" xfId="1" applyNumberFormat="1" applyFont="1" applyFill="1" applyBorder="1" applyAlignment="1">
      <alignment horizontal="right" vertical="top" wrapText="1"/>
    </xf>
    <xf numFmtId="171" fontId="12" fillId="2" borderId="8" xfId="8" applyFont="1" applyFill="1" applyBorder="1" applyAlignment="1">
      <alignment horizontal="right" vertical="top" wrapText="1"/>
    </xf>
    <xf numFmtId="171" fontId="1" fillId="0" borderId="0" xfId="8" applyFont="1" applyAlignment="1">
      <alignment vertical="top"/>
    </xf>
    <xf numFmtId="171" fontId="1" fillId="0" borderId="0" xfId="8" applyFont="1"/>
    <xf numFmtId="171" fontId="1" fillId="0" borderId="0" xfId="8" applyFont="1" applyAlignment="1">
      <alignment horizontal="center" vertical="center"/>
    </xf>
    <xf numFmtId="171" fontId="1" fillId="0" borderId="0" xfId="8" applyFont="1" applyAlignment="1">
      <alignment horizontal="center"/>
    </xf>
    <xf numFmtId="3" fontId="26" fillId="0" borderId="8" xfId="1" applyNumberFormat="1" applyFont="1" applyBorder="1" applyAlignment="1">
      <alignment horizontal="right" vertical="top" wrapText="1"/>
    </xf>
    <xf numFmtId="3" fontId="1" fillId="0" borderId="8" xfId="1" applyNumberFormat="1" applyFont="1" applyFill="1" applyBorder="1" applyAlignment="1">
      <alignment horizontal="right" vertical="top" wrapText="1"/>
    </xf>
    <xf numFmtId="172" fontId="26" fillId="0" borderId="8" xfId="1" applyNumberFormat="1" applyFont="1" applyBorder="1" applyAlignment="1">
      <alignment horizontal="right" vertical="top" wrapText="1"/>
    </xf>
    <xf numFmtId="0" fontId="1" fillId="0" borderId="6" xfId="1" applyFont="1" applyBorder="1" applyAlignment="1">
      <alignment horizontal="left" vertical="top" wrapText="1"/>
    </xf>
    <xf numFmtId="0" fontId="1" fillId="0" borderId="7" xfId="1" applyFont="1" applyBorder="1" applyAlignment="1">
      <alignment horizontal="left" vertical="top" wrapText="1"/>
    </xf>
    <xf numFmtId="0" fontId="1" fillId="0" borderId="8" xfId="1" applyFont="1" applyBorder="1" applyAlignment="1">
      <alignment horizontal="left" vertical="top" wrapText="1"/>
    </xf>
    <xf numFmtId="0" fontId="1" fillId="0" borderId="17" xfId="1" applyFont="1" applyBorder="1" applyAlignment="1">
      <alignment horizontal="left" vertical="top"/>
    </xf>
    <xf numFmtId="0" fontId="2" fillId="2" borderId="7" xfId="1" applyFont="1" applyFill="1" applyBorder="1" applyAlignment="1">
      <alignment horizontal="left" vertical="top" wrapText="1"/>
    </xf>
    <xf numFmtId="3" fontId="27" fillId="4" borderId="8" xfId="1" applyNumberFormat="1" applyFont="1" applyFill="1" applyBorder="1" applyAlignment="1">
      <alignment horizontal="right" vertical="top" wrapText="1"/>
    </xf>
    <xf numFmtId="3" fontId="27" fillId="0" borderId="8" xfId="1" applyNumberFormat="1" applyFont="1" applyBorder="1" applyAlignment="1">
      <alignment horizontal="right" vertical="top" wrapText="1"/>
    </xf>
    <xf numFmtId="3" fontId="27" fillId="0" borderId="8" xfId="1" applyNumberFormat="1" applyFont="1" applyFill="1" applyBorder="1" applyAlignment="1">
      <alignment horizontal="right" vertical="top" wrapText="1"/>
    </xf>
    <xf numFmtId="172" fontId="27" fillId="0" borderId="8" xfId="1" applyNumberFormat="1" applyFont="1" applyBorder="1" applyAlignment="1">
      <alignment horizontal="right" vertical="top" wrapText="1"/>
    </xf>
    <xf numFmtId="171" fontId="26" fillId="0" borderId="0" xfId="8" applyFont="1" applyAlignment="1">
      <alignment vertical="top"/>
    </xf>
    <xf numFmtId="0" fontId="1" fillId="0" borderId="16" xfId="1" applyFont="1" applyBorder="1" applyAlignment="1">
      <alignment horizontal="center" vertical="top" wrapText="1"/>
    </xf>
    <xf numFmtId="0" fontId="3" fillId="0" borderId="29" xfId="1" applyFont="1" applyBorder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0" fontId="3" fillId="0" borderId="0" xfId="1" applyFont="1" applyAlignment="1">
      <alignment horizontal="center" vertical="top" wrapText="1"/>
    </xf>
    <xf numFmtId="0" fontId="1" fillId="0" borderId="3" xfId="1" applyFont="1" applyBorder="1" applyAlignment="1">
      <alignment horizontal="left" vertical="top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33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34" xfId="1" applyFont="1" applyFill="1" applyBorder="1" applyAlignment="1">
      <alignment horizontal="center" vertical="center" wrapText="1"/>
    </xf>
    <xf numFmtId="0" fontId="1" fillId="0" borderId="30" xfId="1" applyFont="1" applyBorder="1" applyAlignment="1">
      <alignment horizontal="center"/>
    </xf>
    <xf numFmtId="0" fontId="1" fillId="0" borderId="31" xfId="1" applyFont="1" applyBorder="1" applyAlignment="1">
      <alignment horizontal="center"/>
    </xf>
    <xf numFmtId="0" fontId="1" fillId="0" borderId="32" xfId="1" applyFont="1" applyBorder="1" applyAlignment="1">
      <alignment horizontal="center"/>
    </xf>
    <xf numFmtId="0" fontId="8" fillId="0" borderId="7" xfId="1" applyFont="1" applyBorder="1" applyAlignment="1">
      <alignment horizontal="left" vertical="top" wrapText="1"/>
    </xf>
    <xf numFmtId="172" fontId="8" fillId="0" borderId="23" xfId="1" applyNumberFormat="1" applyFont="1" applyBorder="1" applyAlignment="1">
      <alignment horizontal="center" vertical="top"/>
    </xf>
    <xf numFmtId="172" fontId="8" fillId="0" borderId="24" xfId="1" applyNumberFormat="1" applyFont="1" applyBorder="1" applyAlignment="1">
      <alignment horizontal="center" vertical="top"/>
    </xf>
    <xf numFmtId="3" fontId="8" fillId="0" borderId="23" xfId="1" applyNumberFormat="1" applyFont="1" applyBorder="1" applyAlignment="1">
      <alignment horizontal="center" vertical="top"/>
    </xf>
    <xf numFmtId="3" fontId="8" fillId="0" borderId="24" xfId="1" applyNumberFormat="1" applyFont="1" applyBorder="1" applyAlignment="1">
      <alignment horizontal="center" vertical="top"/>
    </xf>
    <xf numFmtId="172" fontId="8" fillId="0" borderId="6" xfId="1" applyNumberFormat="1" applyFont="1" applyBorder="1" applyAlignment="1">
      <alignment horizontal="center" vertical="top"/>
    </xf>
    <xf numFmtId="172" fontId="8" fillId="0" borderId="8" xfId="1" applyNumberFormat="1" applyFont="1" applyBorder="1" applyAlignment="1">
      <alignment horizontal="center" vertical="top"/>
    </xf>
    <xf numFmtId="0" fontId="1" fillId="0" borderId="25" xfId="1" applyFont="1" applyBorder="1" applyAlignment="1">
      <alignment horizontal="left" vertical="top" wrapText="1"/>
    </xf>
    <xf numFmtId="0" fontId="1" fillId="0" borderId="26" xfId="1" applyFont="1" applyBorder="1" applyAlignment="1">
      <alignment horizontal="left" vertical="top" wrapText="1"/>
    </xf>
    <xf numFmtId="0" fontId="1" fillId="0" borderId="27" xfId="1" applyFont="1" applyBorder="1" applyAlignment="1">
      <alignment horizontal="left" vertical="top" wrapText="1"/>
    </xf>
    <xf numFmtId="0" fontId="7" fillId="2" borderId="28" xfId="1" applyFont="1" applyFill="1" applyBorder="1" applyAlignment="1">
      <alignment horizontal="left" vertical="top" wrapText="1" indent="2"/>
    </xf>
    <xf numFmtId="0" fontId="7" fillId="2" borderId="14" xfId="1" applyFont="1" applyFill="1" applyBorder="1" applyAlignment="1">
      <alignment horizontal="left" vertical="top" wrapText="1" indent="2"/>
    </xf>
    <xf numFmtId="0" fontId="1" fillId="0" borderId="6" xfId="1" applyFont="1" applyBorder="1" applyAlignment="1">
      <alignment horizontal="left" vertical="top" wrapText="1"/>
    </xf>
    <xf numFmtId="0" fontId="1" fillId="0" borderId="7" xfId="1" applyFont="1" applyBorder="1" applyAlignment="1">
      <alignment horizontal="left" vertical="top" wrapText="1"/>
    </xf>
    <xf numFmtId="0" fontId="1" fillId="0" borderId="8" xfId="1" applyFont="1" applyBorder="1" applyAlignment="1">
      <alignment horizontal="left" vertical="top" wrapText="1"/>
    </xf>
    <xf numFmtId="0" fontId="1" fillId="0" borderId="29" xfId="1" applyFont="1" applyBorder="1" applyAlignment="1">
      <alignment horizontal="left" vertical="top"/>
    </xf>
    <xf numFmtId="0" fontId="1" fillId="0" borderId="16" xfId="1" applyFont="1" applyBorder="1" applyAlignment="1">
      <alignment horizontal="left" vertical="top" wrapText="1"/>
    </xf>
    <xf numFmtId="0" fontId="2" fillId="0" borderId="0" xfId="1" applyFont="1" applyAlignment="1">
      <alignment horizontal="right" vertical="top"/>
    </xf>
    <xf numFmtId="0" fontId="1" fillId="0" borderId="0" xfId="1" applyFont="1" applyAlignment="1">
      <alignment horizontal="left" vertical="top" wrapText="1"/>
    </xf>
    <xf numFmtId="0" fontId="8" fillId="0" borderId="0" xfId="1" applyFont="1" applyAlignment="1">
      <alignment horizontal="center" vertical="top" wrapText="1"/>
    </xf>
    <xf numFmtId="0" fontId="8" fillId="0" borderId="0" xfId="1" applyFont="1" applyAlignment="1">
      <alignment horizontal="left" vertical="top" wrapText="1"/>
    </xf>
    <xf numFmtId="0" fontId="1" fillId="0" borderId="17" xfId="1" applyFont="1" applyBorder="1" applyAlignment="1">
      <alignment horizontal="left" vertical="top"/>
    </xf>
    <xf numFmtId="0" fontId="1" fillId="0" borderId="18" xfId="1" applyFont="1" applyBorder="1" applyAlignment="1">
      <alignment horizontal="left" vertical="top" wrapText="1"/>
    </xf>
    <xf numFmtId="0" fontId="2" fillId="2" borderId="38" xfId="1" applyFont="1" applyFill="1" applyBorder="1" applyAlignment="1">
      <alignment horizontal="center" vertical="center" wrapText="1"/>
    </xf>
    <xf numFmtId="0" fontId="2" fillId="2" borderId="39" xfId="1" applyFont="1" applyFill="1" applyBorder="1" applyAlignment="1">
      <alignment horizontal="center" vertical="center" wrapText="1"/>
    </xf>
    <xf numFmtId="0" fontId="2" fillId="2" borderId="20" xfId="1" applyFont="1" applyFill="1" applyBorder="1" applyAlignment="1">
      <alignment horizontal="center" vertical="center" wrapText="1"/>
    </xf>
    <xf numFmtId="0" fontId="2" fillId="2" borderId="40" xfId="1" applyFont="1" applyFill="1" applyBorder="1" applyAlignment="1">
      <alignment horizontal="center" vertical="center"/>
    </xf>
    <xf numFmtId="0" fontId="2" fillId="2" borderId="41" xfId="1" applyFont="1" applyFill="1" applyBorder="1" applyAlignment="1">
      <alignment horizontal="center" vertical="center"/>
    </xf>
    <xf numFmtId="0" fontId="2" fillId="2" borderId="22" xfId="1" applyFont="1" applyFill="1" applyBorder="1" applyAlignment="1">
      <alignment horizontal="center" vertical="center"/>
    </xf>
    <xf numFmtId="0" fontId="2" fillId="2" borderId="40" xfId="1" applyFont="1" applyFill="1" applyBorder="1" applyAlignment="1">
      <alignment horizontal="center" vertical="center" wrapText="1"/>
    </xf>
    <xf numFmtId="0" fontId="2" fillId="2" borderId="22" xfId="1" applyFont="1" applyFill="1" applyBorder="1" applyAlignment="1">
      <alignment horizontal="center" vertical="center" wrapText="1"/>
    </xf>
    <xf numFmtId="0" fontId="11" fillId="2" borderId="7" xfId="1" applyFont="1" applyFill="1" applyBorder="1" applyAlignment="1">
      <alignment horizontal="left" vertical="top" wrapText="1"/>
    </xf>
    <xf numFmtId="0" fontId="11" fillId="2" borderId="8" xfId="1" applyFont="1" applyFill="1" applyBorder="1" applyAlignment="1">
      <alignment horizontal="left" vertical="top" wrapText="1"/>
    </xf>
    <xf numFmtId="0" fontId="1" fillId="0" borderId="35" xfId="1" applyFont="1" applyBorder="1" applyAlignment="1">
      <alignment horizontal="center"/>
    </xf>
    <xf numFmtId="0" fontId="1" fillId="0" borderId="36" xfId="1" applyFont="1" applyBorder="1" applyAlignment="1">
      <alignment horizontal="center"/>
    </xf>
    <xf numFmtId="0" fontId="1" fillId="0" borderId="37" xfId="1" applyFont="1" applyBorder="1" applyAlignment="1">
      <alignment horizontal="center"/>
    </xf>
    <xf numFmtId="0" fontId="7" fillId="2" borderId="28" xfId="1" applyFont="1" applyFill="1" applyBorder="1" applyAlignment="1">
      <alignment horizontal="left" vertical="top" wrapText="1"/>
    </xf>
    <xf numFmtId="0" fontId="7" fillId="2" borderId="14" xfId="1" applyFont="1" applyFill="1" applyBorder="1" applyAlignment="1">
      <alignment horizontal="left" vertical="top" wrapText="1"/>
    </xf>
    <xf numFmtId="0" fontId="7" fillId="2" borderId="15" xfId="1" applyFont="1" applyFill="1" applyBorder="1" applyAlignment="1">
      <alignment horizontal="left" vertical="top" wrapText="1"/>
    </xf>
    <xf numFmtId="0" fontId="2" fillId="2" borderId="7" xfId="1" applyFont="1" applyFill="1" applyBorder="1" applyAlignment="1">
      <alignment horizontal="left" vertical="top" wrapText="1"/>
    </xf>
    <xf numFmtId="0" fontId="2" fillId="2" borderId="8" xfId="1" applyFont="1" applyFill="1" applyBorder="1" applyAlignment="1">
      <alignment horizontal="left" vertical="top" wrapText="1"/>
    </xf>
    <xf numFmtId="0" fontId="28" fillId="3" borderId="6" xfId="1" applyFont="1" applyFill="1" applyBorder="1" applyAlignment="1">
      <alignment horizontal="center" wrapText="1"/>
    </xf>
    <xf numFmtId="0" fontId="28" fillId="3" borderId="7" xfId="1" applyFont="1" applyFill="1" applyBorder="1" applyAlignment="1">
      <alignment horizontal="center" wrapText="1"/>
    </xf>
    <xf numFmtId="0" fontId="28" fillId="3" borderId="8" xfId="1" applyFont="1" applyFill="1" applyBorder="1" applyAlignment="1">
      <alignment horizontal="center" wrapText="1"/>
    </xf>
    <xf numFmtId="3" fontId="8" fillId="0" borderId="6" xfId="1" applyNumberFormat="1" applyFont="1" applyBorder="1" applyAlignment="1">
      <alignment horizontal="center" vertical="top"/>
    </xf>
    <xf numFmtId="3" fontId="8" fillId="0" borderId="8" xfId="1" applyNumberFormat="1" applyFont="1" applyBorder="1" applyAlignment="1">
      <alignment horizontal="center" vertical="top"/>
    </xf>
    <xf numFmtId="0" fontId="8" fillId="0" borderId="8" xfId="1" applyFont="1" applyBorder="1" applyAlignment="1">
      <alignment horizontal="left" vertical="top" wrapText="1"/>
    </xf>
    <xf numFmtId="0" fontId="24" fillId="0" borderId="7" xfId="1" applyFont="1" applyBorder="1" applyAlignment="1">
      <alignment horizontal="left" vertical="top" wrapText="1"/>
    </xf>
    <xf numFmtId="0" fontId="24" fillId="0" borderId="8" xfId="1" applyFont="1" applyBorder="1" applyAlignment="1">
      <alignment horizontal="left" vertical="top" wrapText="1"/>
    </xf>
    <xf numFmtId="0" fontId="24" fillId="3" borderId="7" xfId="1" applyFont="1" applyFill="1" applyBorder="1" applyAlignment="1">
      <alignment horizontal="left" vertical="top" wrapText="1"/>
    </xf>
    <xf numFmtId="0" fontId="24" fillId="3" borderId="8" xfId="1" applyFont="1" applyFill="1" applyBorder="1" applyAlignment="1">
      <alignment horizontal="left" vertical="top" wrapText="1"/>
    </xf>
  </cellXfs>
  <cellStyles count="10">
    <cellStyle name="Обычный" xfId="0" builtinId="0"/>
    <cellStyle name="Обычный 2" xfId="1" xr:uid="{6BB915DD-F0FD-4F5E-B9C0-A66DF60D0ED1}"/>
    <cellStyle name="Обычный 2 2" xfId="2" xr:uid="{0BD98D1A-78A9-40B8-86BC-29F32CD23705}"/>
    <cellStyle name="Обычный 2 3" xfId="3" xr:uid="{BD36C821-BD22-4C2C-8393-F1892934D150}"/>
    <cellStyle name="Обычный 3 2" xfId="4" xr:uid="{B4AB708A-FC04-452D-BABB-6679D57C6E9C}"/>
    <cellStyle name="Обычный 3 2 5" xfId="5" xr:uid="{D7333DAD-0697-4CEC-B29E-B87F9BB23C23}"/>
    <cellStyle name="Обычный 3 3" xfId="6" xr:uid="{88A29F1E-9A5B-45BD-8336-EA111F1873EE}"/>
    <cellStyle name="Обычный 5" xfId="7" xr:uid="{2CB01159-C11B-4DA6-B001-2C69F77AD4FC}"/>
    <cellStyle name="Финансовый" xfId="8" builtinId="3"/>
    <cellStyle name="Финансовый 3" xfId="9" xr:uid="{59CEFDE9-73E0-41CC-AE48-5958C36FAF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BF538-D83A-42D2-A5A6-B9D2883177F3}">
  <sheetPr>
    <pageSetUpPr fitToPage="1"/>
  </sheetPr>
  <dimension ref="A1:G179"/>
  <sheetViews>
    <sheetView showGridLines="0" workbookViewId="0">
      <selection activeCell="C14" sqref="C14"/>
    </sheetView>
  </sheetViews>
  <sheetFormatPr defaultRowHeight="12.75" outlineLevelRow="1" x14ac:dyDescent="0.2"/>
  <cols>
    <col min="1" max="1" width="5.42578125" style="14" customWidth="1"/>
    <col min="2" max="2" width="13.5703125" style="14" customWidth="1"/>
    <col min="3" max="3" width="82.85546875" style="14" customWidth="1"/>
    <col min="4" max="6" width="10.140625" style="14" customWidth="1"/>
    <col min="7" max="16384" width="9.140625" style="14"/>
  </cols>
  <sheetData>
    <row r="1" spans="1:6" s="1" customFormat="1" x14ac:dyDescent="0.25">
      <c r="F1" s="2" t="s">
        <v>0</v>
      </c>
    </row>
    <row r="2" spans="1:6" s="1" customFormat="1" x14ac:dyDescent="0.25">
      <c r="B2" s="131" t="s">
        <v>1</v>
      </c>
      <c r="C2" s="131"/>
      <c r="D2" s="131"/>
      <c r="E2" s="131"/>
      <c r="F2" s="131"/>
    </row>
    <row r="3" spans="1:6" s="1" customFormat="1" x14ac:dyDescent="0.25">
      <c r="A3" s="3"/>
      <c r="B3" s="132" t="s">
        <v>2</v>
      </c>
      <c r="C3" s="132"/>
      <c r="D3" s="132"/>
      <c r="E3" s="132"/>
      <c r="F3" s="132"/>
    </row>
    <row r="4" spans="1:6" s="1" customFormat="1" x14ac:dyDescent="0.25">
      <c r="C4" s="4"/>
      <c r="D4" s="4"/>
      <c r="E4" s="4"/>
      <c r="F4" s="4"/>
    </row>
    <row r="5" spans="1:6" s="1" customFormat="1" ht="15.75" x14ac:dyDescent="0.25">
      <c r="A5" s="5"/>
      <c r="B5" s="5"/>
      <c r="C5" s="6" t="s">
        <v>3</v>
      </c>
      <c r="D5" s="133" t="s">
        <v>4</v>
      </c>
      <c r="E5" s="133"/>
      <c r="F5" s="133"/>
    </row>
    <row r="6" spans="1:6" s="1" customFormat="1" x14ac:dyDescent="0.25">
      <c r="A6" s="3"/>
      <c r="B6" s="134" t="s">
        <v>5</v>
      </c>
      <c r="C6" s="134"/>
      <c r="D6" s="134"/>
      <c r="E6" s="134"/>
      <c r="F6" s="134"/>
    </row>
    <row r="7" spans="1:6" s="1" customFormat="1" x14ac:dyDescent="0.25">
      <c r="D7" s="4"/>
      <c r="F7" s="7" t="s">
        <v>6</v>
      </c>
    </row>
    <row r="8" spans="1:6" s="1" customFormat="1" x14ac:dyDescent="0.25">
      <c r="A8" s="7" t="s">
        <v>7</v>
      </c>
      <c r="B8" s="131" t="s">
        <v>8</v>
      </c>
      <c r="C8" s="131"/>
      <c r="D8" s="131"/>
      <c r="E8" s="131"/>
      <c r="F8" s="131"/>
    </row>
    <row r="9" spans="1:6" s="1" customFormat="1" x14ac:dyDescent="0.25">
      <c r="A9" s="3"/>
      <c r="B9" s="132" t="s">
        <v>9</v>
      </c>
      <c r="C9" s="132"/>
      <c r="D9" s="132"/>
      <c r="E9" s="132"/>
      <c r="F9" s="132"/>
    </row>
    <row r="10" spans="1:6" s="1" customFormat="1" x14ac:dyDescent="0.25"/>
    <row r="11" spans="1:6" s="1" customFormat="1" x14ac:dyDescent="0.25">
      <c r="A11" s="8" t="s">
        <v>10</v>
      </c>
      <c r="B11" s="8"/>
      <c r="C11" s="135"/>
      <c r="D11" s="135"/>
      <c r="E11" s="135"/>
      <c r="F11" s="135"/>
    </row>
    <row r="12" spans="1:6" s="9" customFormat="1" ht="12.75" customHeight="1" x14ac:dyDescent="0.25">
      <c r="A12" s="136" t="s">
        <v>11</v>
      </c>
      <c r="B12" s="136" t="s">
        <v>12</v>
      </c>
      <c r="C12" s="136" t="s">
        <v>13</v>
      </c>
      <c r="D12" s="136" t="s">
        <v>14</v>
      </c>
      <c r="E12" s="138" t="s">
        <v>15</v>
      </c>
      <c r="F12" s="139"/>
    </row>
    <row r="13" spans="1:6" s="9" customFormat="1" ht="34.5" customHeight="1" x14ac:dyDescent="0.25">
      <c r="A13" s="137"/>
      <c r="B13" s="137"/>
      <c r="C13" s="137"/>
      <c r="D13" s="137"/>
      <c r="E13" s="10" t="s">
        <v>16</v>
      </c>
      <c r="F13" s="10" t="s">
        <v>17</v>
      </c>
    </row>
    <row r="14" spans="1:6" s="13" customFormat="1" x14ac:dyDescent="0.2">
      <c r="A14" s="11">
        <v>1</v>
      </c>
      <c r="B14" s="12">
        <v>2</v>
      </c>
      <c r="C14" s="12">
        <v>3</v>
      </c>
      <c r="D14" s="12">
        <v>4</v>
      </c>
      <c r="E14" s="12">
        <v>5</v>
      </c>
      <c r="F14" s="12">
        <v>6</v>
      </c>
    </row>
    <row r="15" spans="1:6" x14ac:dyDescent="0.2">
      <c r="A15" s="140"/>
      <c r="B15" s="141"/>
      <c r="C15" s="141"/>
      <c r="D15" s="141"/>
      <c r="E15" s="141"/>
      <c r="F15" s="142"/>
    </row>
    <row r="16" spans="1:6" s="1" customFormat="1" ht="12.75" customHeight="1" x14ac:dyDescent="0.25">
      <c r="A16" s="121"/>
      <c r="B16" s="122"/>
      <c r="C16" s="143" t="s">
        <v>18</v>
      </c>
      <c r="D16" s="143"/>
      <c r="E16" s="122"/>
      <c r="F16" s="123"/>
    </row>
    <row r="17" spans="1:7" s="1" customFormat="1" ht="76.5" x14ac:dyDescent="0.25">
      <c r="A17" s="18" t="s">
        <v>19</v>
      </c>
      <c r="B17" s="19" t="s">
        <v>20</v>
      </c>
      <c r="C17" s="19" t="s">
        <v>21</v>
      </c>
      <c r="D17" s="20" t="s">
        <v>22</v>
      </c>
      <c r="E17" s="144">
        <v>77.680000000000007</v>
      </c>
      <c r="F17" s="145"/>
      <c r="G17" s="21"/>
    </row>
    <row r="18" spans="1:7" s="26" customFormat="1" outlineLevel="1" x14ac:dyDescent="0.25">
      <c r="A18" s="22" t="s">
        <v>23</v>
      </c>
      <c r="B18" s="23" t="s">
        <v>24</v>
      </c>
      <c r="C18" s="24" t="s">
        <v>25</v>
      </c>
      <c r="D18" s="23" t="s">
        <v>26</v>
      </c>
      <c r="E18" s="25">
        <v>1.21</v>
      </c>
      <c r="F18" s="25">
        <v>93.992800000000003</v>
      </c>
    </row>
    <row r="19" spans="1:7" s="31" customFormat="1" ht="24" outlineLevel="1" x14ac:dyDescent="0.25">
      <c r="A19" s="27" t="s">
        <v>27</v>
      </c>
      <c r="B19" s="28" t="s">
        <v>28</v>
      </c>
      <c r="C19" s="29" t="s">
        <v>29</v>
      </c>
      <c r="D19" s="28" t="s">
        <v>30</v>
      </c>
      <c r="E19" s="30">
        <v>1.21</v>
      </c>
      <c r="F19" s="30">
        <v>93.992800000000003</v>
      </c>
    </row>
    <row r="20" spans="1:7" s="1" customFormat="1" ht="76.5" x14ac:dyDescent="0.25">
      <c r="A20" s="18" t="s">
        <v>31</v>
      </c>
      <c r="B20" s="19" t="s">
        <v>20</v>
      </c>
      <c r="C20" s="19" t="s">
        <v>21</v>
      </c>
      <c r="D20" s="20" t="s">
        <v>22</v>
      </c>
      <c r="E20" s="144">
        <v>33.770000000000003</v>
      </c>
      <c r="F20" s="145"/>
      <c r="G20" s="21"/>
    </row>
    <row r="21" spans="1:7" s="26" customFormat="1" outlineLevel="1" x14ac:dyDescent="0.25">
      <c r="A21" s="22" t="s">
        <v>32</v>
      </c>
      <c r="B21" s="23" t="s">
        <v>24</v>
      </c>
      <c r="C21" s="24" t="s">
        <v>25</v>
      </c>
      <c r="D21" s="23" t="s">
        <v>26</v>
      </c>
      <c r="E21" s="25">
        <v>1.21</v>
      </c>
      <c r="F21" s="25">
        <v>40.861699999999999</v>
      </c>
    </row>
    <row r="22" spans="1:7" s="31" customFormat="1" ht="24" outlineLevel="1" x14ac:dyDescent="0.25">
      <c r="A22" s="27" t="s">
        <v>33</v>
      </c>
      <c r="B22" s="28" t="s">
        <v>28</v>
      </c>
      <c r="C22" s="29" t="s">
        <v>29</v>
      </c>
      <c r="D22" s="28" t="s">
        <v>30</v>
      </c>
      <c r="E22" s="30">
        <v>1.21</v>
      </c>
      <c r="F22" s="30">
        <v>40.861699999999999</v>
      </c>
    </row>
    <row r="23" spans="1:7" s="1" customFormat="1" ht="25.5" x14ac:dyDescent="0.25">
      <c r="A23" s="18" t="s">
        <v>24</v>
      </c>
      <c r="B23" s="19" t="s">
        <v>34</v>
      </c>
      <c r="C23" s="19" t="s">
        <v>35</v>
      </c>
      <c r="D23" s="20" t="s">
        <v>22</v>
      </c>
      <c r="E23" s="144">
        <v>0.35</v>
      </c>
      <c r="F23" s="145"/>
      <c r="G23" s="21"/>
    </row>
    <row r="24" spans="1:7" s="26" customFormat="1" outlineLevel="1" x14ac:dyDescent="0.25">
      <c r="A24" s="22" t="s">
        <v>36</v>
      </c>
      <c r="B24" s="23" t="s">
        <v>19</v>
      </c>
      <c r="C24" s="24" t="s">
        <v>37</v>
      </c>
      <c r="D24" s="23" t="s">
        <v>26</v>
      </c>
      <c r="E24" s="25">
        <v>193.8</v>
      </c>
      <c r="F24" s="25">
        <v>67.83</v>
      </c>
    </row>
    <row r="25" spans="1:7" s="36" customFormat="1" outlineLevel="1" x14ac:dyDescent="0.25">
      <c r="A25" s="32" t="s">
        <v>38</v>
      </c>
      <c r="B25" s="33" t="s">
        <v>24</v>
      </c>
      <c r="C25" s="34" t="s">
        <v>25</v>
      </c>
      <c r="D25" s="33" t="s">
        <v>26</v>
      </c>
      <c r="E25" s="35">
        <v>62.7</v>
      </c>
      <c r="F25" s="35">
        <v>21.945</v>
      </c>
    </row>
    <row r="26" spans="1:7" s="31" customFormat="1" outlineLevel="1" x14ac:dyDescent="0.25">
      <c r="A26" s="27" t="s">
        <v>39</v>
      </c>
      <c r="B26" s="28" t="s">
        <v>40</v>
      </c>
      <c r="C26" s="29" t="s">
        <v>41</v>
      </c>
      <c r="D26" s="28" t="s">
        <v>30</v>
      </c>
      <c r="E26" s="30">
        <v>62.7</v>
      </c>
      <c r="F26" s="30">
        <v>21.945</v>
      </c>
    </row>
    <row r="27" spans="1:7" s="1" customFormat="1" ht="25.5" x14ac:dyDescent="0.25">
      <c r="A27" s="18" t="s">
        <v>42</v>
      </c>
      <c r="B27" s="19" t="s">
        <v>43</v>
      </c>
      <c r="C27" s="19" t="s">
        <v>44</v>
      </c>
      <c r="D27" s="20" t="s">
        <v>45</v>
      </c>
      <c r="E27" s="144">
        <v>1.0249999999999999</v>
      </c>
      <c r="F27" s="145"/>
      <c r="G27" s="21"/>
    </row>
    <row r="28" spans="1:7" s="26" customFormat="1" outlineLevel="1" x14ac:dyDescent="0.25">
      <c r="A28" s="22" t="s">
        <v>46</v>
      </c>
      <c r="B28" s="23" t="s">
        <v>24</v>
      </c>
      <c r="C28" s="24" t="s">
        <v>25</v>
      </c>
      <c r="D28" s="23" t="s">
        <v>26</v>
      </c>
      <c r="E28" s="25">
        <v>5.05</v>
      </c>
      <c r="F28" s="25">
        <v>5.1761999999999997</v>
      </c>
    </row>
    <row r="29" spans="1:7" s="31" customFormat="1" outlineLevel="1" x14ac:dyDescent="0.25">
      <c r="A29" s="27" t="s">
        <v>47</v>
      </c>
      <c r="B29" s="28" t="s">
        <v>48</v>
      </c>
      <c r="C29" s="29" t="s">
        <v>49</v>
      </c>
      <c r="D29" s="28" t="s">
        <v>30</v>
      </c>
      <c r="E29" s="30">
        <v>5.05</v>
      </c>
      <c r="F29" s="30">
        <v>5.1761999999999997</v>
      </c>
    </row>
    <row r="30" spans="1:7" s="1" customFormat="1" ht="114.75" x14ac:dyDescent="0.25">
      <c r="A30" s="18" t="s">
        <v>50</v>
      </c>
      <c r="B30" s="19" t="s">
        <v>51</v>
      </c>
      <c r="C30" s="19" t="s">
        <v>52</v>
      </c>
      <c r="D30" s="20" t="s">
        <v>53</v>
      </c>
      <c r="E30" s="146">
        <v>132</v>
      </c>
      <c r="F30" s="147"/>
      <c r="G30" s="21"/>
    </row>
    <row r="31" spans="1:7" s="26" customFormat="1" outlineLevel="1" x14ac:dyDescent="0.25">
      <c r="A31" s="22" t="s">
        <v>54</v>
      </c>
      <c r="B31" s="23" t="s">
        <v>24</v>
      </c>
      <c r="C31" s="24" t="s">
        <v>25</v>
      </c>
      <c r="D31" s="23" t="s">
        <v>26</v>
      </c>
      <c r="E31" s="25">
        <v>0.58799999999999997</v>
      </c>
      <c r="F31" s="25">
        <v>77.616</v>
      </c>
    </row>
    <row r="32" spans="1:7" s="31" customFormat="1" ht="24" outlineLevel="1" x14ac:dyDescent="0.25">
      <c r="A32" s="27" t="s">
        <v>55</v>
      </c>
      <c r="B32" s="28" t="s">
        <v>56</v>
      </c>
      <c r="C32" s="29" t="s">
        <v>57</v>
      </c>
      <c r="D32" s="28" t="s">
        <v>30</v>
      </c>
      <c r="E32" s="30">
        <v>0.58799999999999997</v>
      </c>
      <c r="F32" s="30">
        <v>77.616</v>
      </c>
    </row>
    <row r="33" spans="1:7" s="1" customFormat="1" ht="51" x14ac:dyDescent="0.25">
      <c r="A33" s="18" t="s">
        <v>58</v>
      </c>
      <c r="B33" s="19" t="s">
        <v>59</v>
      </c>
      <c r="C33" s="19" t="s">
        <v>60</v>
      </c>
      <c r="D33" s="20" t="s">
        <v>61</v>
      </c>
      <c r="E33" s="146">
        <v>21780</v>
      </c>
      <c r="F33" s="147"/>
      <c r="G33" s="21"/>
    </row>
    <row r="34" spans="1:7" s="26" customFormat="1" outlineLevel="1" x14ac:dyDescent="0.25">
      <c r="A34" s="22" t="s">
        <v>62</v>
      </c>
      <c r="B34" s="23" t="s">
        <v>24</v>
      </c>
      <c r="C34" s="24" t="s">
        <v>25</v>
      </c>
      <c r="D34" s="23" t="s">
        <v>26</v>
      </c>
      <c r="E34" s="25">
        <v>2.5132999999999999E-2</v>
      </c>
      <c r="F34" s="25">
        <v>547.39670000000001</v>
      </c>
    </row>
    <row r="35" spans="1:7" s="31" customFormat="1" outlineLevel="1" x14ac:dyDescent="0.25">
      <c r="A35" s="27" t="s">
        <v>63</v>
      </c>
      <c r="B35" s="28" t="s">
        <v>64</v>
      </c>
      <c r="C35" s="29" t="s">
        <v>65</v>
      </c>
      <c r="D35" s="28" t="s">
        <v>30</v>
      </c>
      <c r="E35" s="30">
        <v>2.5132999999999999E-2</v>
      </c>
      <c r="F35" s="30">
        <v>547.39670000000001</v>
      </c>
    </row>
    <row r="36" spans="1:7" s="1" customFormat="1" ht="25.5" x14ac:dyDescent="0.25">
      <c r="A36" s="18" t="s">
        <v>66</v>
      </c>
      <c r="B36" s="19" t="s">
        <v>67</v>
      </c>
      <c r="C36" s="19" t="s">
        <v>68</v>
      </c>
      <c r="D36" s="20" t="s">
        <v>45</v>
      </c>
      <c r="E36" s="144">
        <v>13.2</v>
      </c>
      <c r="F36" s="145"/>
      <c r="G36" s="21"/>
    </row>
    <row r="37" spans="1:7" s="26" customFormat="1" outlineLevel="1" x14ac:dyDescent="0.25">
      <c r="A37" s="22" t="s">
        <v>69</v>
      </c>
      <c r="B37" s="23" t="s">
        <v>24</v>
      </c>
      <c r="C37" s="24" t="s">
        <v>25</v>
      </c>
      <c r="D37" s="23" t="s">
        <v>26</v>
      </c>
      <c r="E37" s="25">
        <v>5.94</v>
      </c>
      <c r="F37" s="25">
        <v>78.408000000000001</v>
      </c>
    </row>
    <row r="38" spans="1:7" s="31" customFormat="1" outlineLevel="1" x14ac:dyDescent="0.25">
      <c r="A38" s="27" t="s">
        <v>70</v>
      </c>
      <c r="B38" s="28" t="s">
        <v>71</v>
      </c>
      <c r="C38" s="29" t="s">
        <v>72</v>
      </c>
      <c r="D38" s="28" t="s">
        <v>30</v>
      </c>
      <c r="E38" s="30">
        <v>5.94</v>
      </c>
      <c r="F38" s="30">
        <v>78.408000000000001</v>
      </c>
    </row>
    <row r="39" spans="1:7" s="36" customFormat="1" outlineLevel="1" x14ac:dyDescent="0.25">
      <c r="A39" s="37" t="s">
        <v>73</v>
      </c>
      <c r="B39" s="38" t="s">
        <v>74</v>
      </c>
      <c r="C39" s="39" t="s">
        <v>75</v>
      </c>
      <c r="D39" s="38" t="s">
        <v>76</v>
      </c>
      <c r="E39" s="40">
        <v>0.6</v>
      </c>
      <c r="F39" s="40">
        <v>7.92</v>
      </c>
    </row>
    <row r="40" spans="1:7" s="1" customFormat="1" ht="76.5" x14ac:dyDescent="0.25">
      <c r="A40" s="18" t="s">
        <v>77</v>
      </c>
      <c r="B40" s="19" t="s">
        <v>78</v>
      </c>
      <c r="C40" s="19" t="s">
        <v>79</v>
      </c>
      <c r="D40" s="20" t="s">
        <v>45</v>
      </c>
      <c r="E40" s="144">
        <v>13.2</v>
      </c>
      <c r="F40" s="145"/>
      <c r="G40" s="21"/>
    </row>
    <row r="41" spans="1:7" s="26" customFormat="1" outlineLevel="1" x14ac:dyDescent="0.25">
      <c r="A41" s="22" t="s">
        <v>80</v>
      </c>
      <c r="B41" s="23" t="s">
        <v>24</v>
      </c>
      <c r="C41" s="24" t="s">
        <v>25</v>
      </c>
      <c r="D41" s="23" t="s">
        <v>26</v>
      </c>
      <c r="E41" s="25">
        <v>9.9109999999999996</v>
      </c>
      <c r="F41" s="25">
        <v>130.8252</v>
      </c>
    </row>
    <row r="42" spans="1:7" s="31" customFormat="1" ht="24" outlineLevel="1" x14ac:dyDescent="0.25">
      <c r="A42" s="27" t="s">
        <v>81</v>
      </c>
      <c r="B42" s="28" t="s">
        <v>82</v>
      </c>
      <c r="C42" s="29" t="s">
        <v>83</v>
      </c>
      <c r="D42" s="28" t="s">
        <v>30</v>
      </c>
      <c r="E42" s="30">
        <v>9.9109999999999996</v>
      </c>
      <c r="F42" s="30">
        <v>130.8252</v>
      </c>
    </row>
    <row r="43" spans="1:7" s="1" customFormat="1" ht="76.5" x14ac:dyDescent="0.25">
      <c r="A43" s="18" t="s">
        <v>84</v>
      </c>
      <c r="B43" s="19" t="s">
        <v>78</v>
      </c>
      <c r="C43" s="19" t="s">
        <v>79</v>
      </c>
      <c r="D43" s="20" t="s">
        <v>45</v>
      </c>
      <c r="E43" s="144">
        <v>7.7679999999999998</v>
      </c>
      <c r="F43" s="145"/>
      <c r="G43" s="21"/>
    </row>
    <row r="44" spans="1:7" s="26" customFormat="1" outlineLevel="1" x14ac:dyDescent="0.25">
      <c r="A44" s="22" t="s">
        <v>85</v>
      </c>
      <c r="B44" s="23" t="s">
        <v>24</v>
      </c>
      <c r="C44" s="24" t="s">
        <v>25</v>
      </c>
      <c r="D44" s="23" t="s">
        <v>26</v>
      </c>
      <c r="E44" s="25">
        <v>9.9109999999999996</v>
      </c>
      <c r="F44" s="25">
        <v>76.988600000000005</v>
      </c>
    </row>
    <row r="45" spans="1:7" s="31" customFormat="1" ht="24" outlineLevel="1" x14ac:dyDescent="0.25">
      <c r="A45" s="27" t="s">
        <v>86</v>
      </c>
      <c r="B45" s="28" t="s">
        <v>82</v>
      </c>
      <c r="C45" s="29" t="s">
        <v>83</v>
      </c>
      <c r="D45" s="28" t="s">
        <v>30</v>
      </c>
      <c r="E45" s="30">
        <v>9.9109999999999996</v>
      </c>
      <c r="F45" s="30">
        <v>76.988600000000005</v>
      </c>
    </row>
    <row r="46" spans="1:7" s="1" customFormat="1" x14ac:dyDescent="0.25">
      <c r="A46" s="18" t="s">
        <v>87</v>
      </c>
      <c r="B46" s="19" t="s">
        <v>88</v>
      </c>
      <c r="C46" s="19" t="s">
        <v>89</v>
      </c>
      <c r="D46" s="20" t="s">
        <v>22</v>
      </c>
      <c r="E46" s="144">
        <v>180.53</v>
      </c>
      <c r="F46" s="145"/>
      <c r="G46" s="21"/>
    </row>
    <row r="47" spans="1:7" s="26" customFormat="1" outlineLevel="1" x14ac:dyDescent="0.25">
      <c r="A47" s="22" t="s">
        <v>90</v>
      </c>
      <c r="B47" s="23" t="s">
        <v>19</v>
      </c>
      <c r="C47" s="24" t="s">
        <v>37</v>
      </c>
      <c r="D47" s="23" t="s">
        <v>26</v>
      </c>
      <c r="E47" s="25">
        <v>12.53</v>
      </c>
      <c r="F47" s="25">
        <v>2262.0409</v>
      </c>
    </row>
    <row r="48" spans="1:7" s="36" customFormat="1" outlineLevel="1" x14ac:dyDescent="0.25">
      <c r="A48" s="32" t="s">
        <v>91</v>
      </c>
      <c r="B48" s="33" t="s">
        <v>24</v>
      </c>
      <c r="C48" s="34" t="s">
        <v>25</v>
      </c>
      <c r="D48" s="33" t="s">
        <v>26</v>
      </c>
      <c r="E48" s="35">
        <v>3.04</v>
      </c>
      <c r="F48" s="35">
        <v>548.81119999999999</v>
      </c>
    </row>
    <row r="49" spans="1:7" s="31" customFormat="1" ht="24" outlineLevel="1" x14ac:dyDescent="0.25">
      <c r="A49" s="27" t="s">
        <v>92</v>
      </c>
      <c r="B49" s="28" t="s">
        <v>93</v>
      </c>
      <c r="C49" s="29" t="s">
        <v>94</v>
      </c>
      <c r="D49" s="28" t="s">
        <v>30</v>
      </c>
      <c r="E49" s="30">
        <v>3.04</v>
      </c>
      <c r="F49" s="30">
        <v>548.81119999999999</v>
      </c>
    </row>
    <row r="50" spans="1:7" s="31" customFormat="1" outlineLevel="1" x14ac:dyDescent="0.25">
      <c r="A50" s="41" t="s">
        <v>95</v>
      </c>
      <c r="B50" s="42" t="s">
        <v>96</v>
      </c>
      <c r="C50" s="43" t="s">
        <v>97</v>
      </c>
      <c r="D50" s="42" t="s">
        <v>30</v>
      </c>
      <c r="E50" s="44">
        <v>12.18</v>
      </c>
      <c r="F50" s="44">
        <v>2198.8553999999999</v>
      </c>
    </row>
    <row r="51" spans="1:7" s="1" customFormat="1" ht="25.5" x14ac:dyDescent="0.25">
      <c r="A51" s="18" t="s">
        <v>98</v>
      </c>
      <c r="B51" s="19" t="s">
        <v>99</v>
      </c>
      <c r="C51" s="19" t="s">
        <v>100</v>
      </c>
      <c r="D51" s="20" t="s">
        <v>101</v>
      </c>
      <c r="E51" s="144">
        <v>22.568000000000001</v>
      </c>
      <c r="F51" s="145"/>
      <c r="G51" s="21"/>
    </row>
    <row r="52" spans="1:7" s="26" customFormat="1" outlineLevel="1" x14ac:dyDescent="0.25">
      <c r="A52" s="22" t="s">
        <v>102</v>
      </c>
      <c r="B52" s="23" t="s">
        <v>24</v>
      </c>
      <c r="C52" s="24" t="s">
        <v>25</v>
      </c>
      <c r="D52" s="23" t="s">
        <v>26</v>
      </c>
      <c r="E52" s="25">
        <v>0.24</v>
      </c>
      <c r="F52" s="25">
        <v>5.4162999999999997</v>
      </c>
    </row>
    <row r="53" spans="1:7" s="31" customFormat="1" outlineLevel="1" x14ac:dyDescent="0.25">
      <c r="A53" s="27" t="s">
        <v>103</v>
      </c>
      <c r="B53" s="28" t="s">
        <v>104</v>
      </c>
      <c r="C53" s="29" t="s">
        <v>105</v>
      </c>
      <c r="D53" s="28" t="s">
        <v>30</v>
      </c>
      <c r="E53" s="30">
        <v>0.24</v>
      </c>
      <c r="F53" s="30">
        <v>5.4162999999999997</v>
      </c>
    </row>
    <row r="54" spans="1:7" s="1" customFormat="1" ht="25.5" x14ac:dyDescent="0.25">
      <c r="A54" s="18" t="s">
        <v>106</v>
      </c>
      <c r="B54" s="19" t="s">
        <v>107</v>
      </c>
      <c r="C54" s="19" t="s">
        <v>108</v>
      </c>
      <c r="D54" s="20" t="s">
        <v>101</v>
      </c>
      <c r="E54" s="144">
        <v>67.831999999999994</v>
      </c>
      <c r="F54" s="145"/>
      <c r="G54" s="21"/>
    </row>
    <row r="55" spans="1:7" s="26" customFormat="1" outlineLevel="1" x14ac:dyDescent="0.25">
      <c r="A55" s="22" t="s">
        <v>109</v>
      </c>
      <c r="B55" s="23" t="s">
        <v>19</v>
      </c>
      <c r="C55" s="24" t="s">
        <v>37</v>
      </c>
      <c r="D55" s="23" t="s">
        <v>26</v>
      </c>
      <c r="E55" s="25">
        <v>6.29</v>
      </c>
      <c r="F55" s="25">
        <v>426.66329999999999</v>
      </c>
    </row>
    <row r="56" spans="1:7" s="36" customFormat="1" outlineLevel="1" x14ac:dyDescent="0.25">
      <c r="A56" s="32" t="s">
        <v>110</v>
      </c>
      <c r="B56" s="33" t="s">
        <v>24</v>
      </c>
      <c r="C56" s="34" t="s">
        <v>25</v>
      </c>
      <c r="D56" s="33" t="s">
        <v>26</v>
      </c>
      <c r="E56" s="35">
        <v>13.33</v>
      </c>
      <c r="F56" s="35">
        <v>904.20060000000001</v>
      </c>
    </row>
    <row r="57" spans="1:7" s="31" customFormat="1" ht="24" outlineLevel="1" x14ac:dyDescent="0.25">
      <c r="A57" s="27" t="s">
        <v>111</v>
      </c>
      <c r="B57" s="28" t="s">
        <v>112</v>
      </c>
      <c r="C57" s="29" t="s">
        <v>113</v>
      </c>
      <c r="D57" s="28" t="s">
        <v>30</v>
      </c>
      <c r="E57" s="30">
        <v>13.33</v>
      </c>
      <c r="F57" s="30">
        <v>904.20060000000001</v>
      </c>
    </row>
    <row r="58" spans="1:7" s="1" customFormat="1" ht="25.5" x14ac:dyDescent="0.25">
      <c r="A58" s="18" t="s">
        <v>114</v>
      </c>
      <c r="B58" s="19" t="s">
        <v>115</v>
      </c>
      <c r="C58" s="19" t="s">
        <v>116</v>
      </c>
      <c r="D58" s="20" t="s">
        <v>101</v>
      </c>
      <c r="E58" s="144">
        <v>41.697000000000003</v>
      </c>
      <c r="F58" s="145"/>
      <c r="G58" s="21"/>
    </row>
    <row r="59" spans="1:7" s="26" customFormat="1" outlineLevel="1" x14ac:dyDescent="0.25">
      <c r="A59" s="22" t="s">
        <v>117</v>
      </c>
      <c r="B59" s="23" t="s">
        <v>24</v>
      </c>
      <c r="C59" s="24" t="s">
        <v>25</v>
      </c>
      <c r="D59" s="23" t="s">
        <v>26</v>
      </c>
      <c r="E59" s="25">
        <v>0.14000000000000001</v>
      </c>
      <c r="F59" s="25">
        <v>5.8376000000000001</v>
      </c>
    </row>
    <row r="60" spans="1:7" s="31" customFormat="1" outlineLevel="1" x14ac:dyDescent="0.25">
      <c r="A60" s="27" t="s">
        <v>118</v>
      </c>
      <c r="B60" s="28" t="s">
        <v>104</v>
      </c>
      <c r="C60" s="29" t="s">
        <v>105</v>
      </c>
      <c r="D60" s="28" t="s">
        <v>30</v>
      </c>
      <c r="E60" s="30">
        <v>0.14000000000000001</v>
      </c>
      <c r="F60" s="30">
        <v>5.8376000000000001</v>
      </c>
    </row>
    <row r="61" spans="1:7" s="1" customFormat="1" ht="76.5" x14ac:dyDescent="0.25">
      <c r="A61" s="18" t="s">
        <v>119</v>
      </c>
      <c r="B61" s="19" t="s">
        <v>20</v>
      </c>
      <c r="C61" s="19" t="s">
        <v>120</v>
      </c>
      <c r="D61" s="20" t="s">
        <v>22</v>
      </c>
      <c r="E61" s="144">
        <v>34.119999999999997</v>
      </c>
      <c r="F61" s="145"/>
      <c r="G61" s="21"/>
    </row>
    <row r="62" spans="1:7" s="26" customFormat="1" outlineLevel="1" x14ac:dyDescent="0.25">
      <c r="A62" s="22" t="s">
        <v>121</v>
      </c>
      <c r="B62" s="23" t="s">
        <v>24</v>
      </c>
      <c r="C62" s="24" t="s">
        <v>25</v>
      </c>
      <c r="D62" s="23" t="s">
        <v>26</v>
      </c>
      <c r="E62" s="25">
        <v>1.21</v>
      </c>
      <c r="F62" s="25">
        <v>41.285200000000003</v>
      </c>
    </row>
    <row r="63" spans="1:7" s="31" customFormat="1" ht="24" outlineLevel="1" x14ac:dyDescent="0.25">
      <c r="A63" s="27" t="s">
        <v>122</v>
      </c>
      <c r="B63" s="28" t="s">
        <v>28</v>
      </c>
      <c r="C63" s="29" t="s">
        <v>29</v>
      </c>
      <c r="D63" s="28" t="s">
        <v>30</v>
      </c>
      <c r="E63" s="30">
        <v>1.21</v>
      </c>
      <c r="F63" s="30">
        <v>41.285200000000003</v>
      </c>
    </row>
    <row r="64" spans="1:7" s="1" customFormat="1" ht="38.25" x14ac:dyDescent="0.25">
      <c r="A64" s="18" t="s">
        <v>123</v>
      </c>
      <c r="B64" s="19" t="s">
        <v>124</v>
      </c>
      <c r="C64" s="19" t="s">
        <v>125</v>
      </c>
      <c r="D64" s="20" t="s">
        <v>45</v>
      </c>
      <c r="E64" s="144">
        <v>1.88</v>
      </c>
      <c r="F64" s="145"/>
      <c r="G64" s="21"/>
    </row>
    <row r="65" spans="1:7" s="26" customFormat="1" outlineLevel="1" x14ac:dyDescent="0.25">
      <c r="A65" s="22" t="s">
        <v>126</v>
      </c>
      <c r="B65" s="23" t="s">
        <v>24</v>
      </c>
      <c r="C65" s="24" t="s">
        <v>25</v>
      </c>
      <c r="D65" s="23" t="s">
        <v>26</v>
      </c>
      <c r="E65" s="25">
        <v>10.2608</v>
      </c>
      <c r="F65" s="25">
        <v>19.290299999999998</v>
      </c>
    </row>
    <row r="66" spans="1:7" s="31" customFormat="1" ht="24" outlineLevel="1" x14ac:dyDescent="0.25">
      <c r="A66" s="27" t="s">
        <v>127</v>
      </c>
      <c r="B66" s="28" t="s">
        <v>82</v>
      </c>
      <c r="C66" s="29" t="s">
        <v>83</v>
      </c>
      <c r="D66" s="28" t="s">
        <v>30</v>
      </c>
      <c r="E66" s="30">
        <v>10.2608</v>
      </c>
      <c r="F66" s="30">
        <v>19.290299999999998</v>
      </c>
    </row>
    <row r="67" spans="1:7" s="1" customFormat="1" ht="25.5" x14ac:dyDescent="0.25">
      <c r="A67" s="18" t="s">
        <v>128</v>
      </c>
      <c r="B67" s="19" t="s">
        <v>129</v>
      </c>
      <c r="C67" s="19" t="s">
        <v>130</v>
      </c>
      <c r="D67" s="20" t="s">
        <v>45</v>
      </c>
      <c r="E67" s="144">
        <v>5.2919999999999998</v>
      </c>
      <c r="F67" s="145"/>
      <c r="G67" s="21"/>
    </row>
    <row r="68" spans="1:7" s="26" customFormat="1" outlineLevel="1" x14ac:dyDescent="0.25">
      <c r="A68" s="22" t="s">
        <v>131</v>
      </c>
      <c r="B68" s="23" t="s">
        <v>24</v>
      </c>
      <c r="C68" s="24" t="s">
        <v>25</v>
      </c>
      <c r="D68" s="23" t="s">
        <v>26</v>
      </c>
      <c r="E68" s="25">
        <v>4.6900000000000004</v>
      </c>
      <c r="F68" s="25">
        <v>24.819500000000001</v>
      </c>
    </row>
    <row r="69" spans="1:7" s="31" customFormat="1" outlineLevel="1" x14ac:dyDescent="0.25">
      <c r="A69" s="27" t="s">
        <v>132</v>
      </c>
      <c r="B69" s="28" t="s">
        <v>48</v>
      </c>
      <c r="C69" s="29" t="s">
        <v>49</v>
      </c>
      <c r="D69" s="28" t="s">
        <v>30</v>
      </c>
      <c r="E69" s="30">
        <v>4.6900000000000004</v>
      </c>
      <c r="F69" s="30">
        <v>24.819500000000001</v>
      </c>
    </row>
    <row r="70" spans="1:7" s="1" customFormat="1" ht="12.75" customHeight="1" x14ac:dyDescent="0.25">
      <c r="A70" s="121"/>
      <c r="B70" s="122"/>
      <c r="C70" s="143" t="s">
        <v>133</v>
      </c>
      <c r="D70" s="143"/>
      <c r="E70" s="122"/>
      <c r="F70" s="123"/>
    </row>
    <row r="71" spans="1:7" s="1" customFormat="1" ht="38.25" x14ac:dyDescent="0.25">
      <c r="A71" s="18" t="s">
        <v>134</v>
      </c>
      <c r="B71" s="19" t="s">
        <v>135</v>
      </c>
      <c r="C71" s="19" t="s">
        <v>136</v>
      </c>
      <c r="D71" s="20" t="s">
        <v>22</v>
      </c>
      <c r="E71" s="144">
        <v>132.38900000000001</v>
      </c>
      <c r="F71" s="145"/>
      <c r="G71" s="21"/>
    </row>
    <row r="72" spans="1:7" s="26" customFormat="1" outlineLevel="1" x14ac:dyDescent="0.25">
      <c r="A72" s="22" t="s">
        <v>137</v>
      </c>
      <c r="B72" s="23" t="s">
        <v>19</v>
      </c>
      <c r="C72" s="24" t="s">
        <v>37</v>
      </c>
      <c r="D72" s="23" t="s">
        <v>26</v>
      </c>
      <c r="E72" s="45">
        <v>370</v>
      </c>
      <c r="F72" s="25">
        <v>48983.93</v>
      </c>
    </row>
    <row r="73" spans="1:7" s="36" customFormat="1" outlineLevel="1" x14ac:dyDescent="0.25">
      <c r="A73" s="32" t="s">
        <v>138</v>
      </c>
      <c r="B73" s="33" t="s">
        <v>24</v>
      </c>
      <c r="C73" s="34" t="s">
        <v>25</v>
      </c>
      <c r="D73" s="33" t="s">
        <v>26</v>
      </c>
      <c r="E73" s="35">
        <v>20.100000000000001</v>
      </c>
      <c r="F73" s="35">
        <v>2661.0189</v>
      </c>
    </row>
    <row r="74" spans="1:7" s="31" customFormat="1" outlineLevel="1" x14ac:dyDescent="0.25">
      <c r="A74" s="27" t="s">
        <v>139</v>
      </c>
      <c r="B74" s="28" t="s">
        <v>140</v>
      </c>
      <c r="C74" s="29" t="s">
        <v>141</v>
      </c>
      <c r="D74" s="28" t="s">
        <v>30</v>
      </c>
      <c r="E74" s="30">
        <v>51.2</v>
      </c>
      <c r="F74" s="30">
        <v>6778.3167999999996</v>
      </c>
    </row>
    <row r="75" spans="1:7" s="31" customFormat="1" ht="24" outlineLevel="1" x14ac:dyDescent="0.25">
      <c r="A75" s="41" t="s">
        <v>142</v>
      </c>
      <c r="B75" s="42" t="s">
        <v>143</v>
      </c>
      <c r="C75" s="43" t="s">
        <v>144</v>
      </c>
      <c r="D75" s="42" t="s">
        <v>30</v>
      </c>
      <c r="E75" s="44">
        <v>1.64</v>
      </c>
      <c r="F75" s="44">
        <v>217.11799999999999</v>
      </c>
    </row>
    <row r="76" spans="1:7" s="31" customFormat="1" ht="24" outlineLevel="1" x14ac:dyDescent="0.25">
      <c r="A76" s="41" t="s">
        <v>145</v>
      </c>
      <c r="B76" s="42" t="s">
        <v>146</v>
      </c>
      <c r="C76" s="43" t="s">
        <v>147</v>
      </c>
      <c r="D76" s="42" t="s">
        <v>30</v>
      </c>
      <c r="E76" s="44">
        <v>4.4000000000000004</v>
      </c>
      <c r="F76" s="44">
        <v>582.51160000000004</v>
      </c>
    </row>
    <row r="77" spans="1:7" s="31" customFormat="1" outlineLevel="1" x14ac:dyDescent="0.25">
      <c r="A77" s="41" t="s">
        <v>148</v>
      </c>
      <c r="B77" s="42" t="s">
        <v>149</v>
      </c>
      <c r="C77" s="43" t="s">
        <v>150</v>
      </c>
      <c r="D77" s="42" t="s">
        <v>30</v>
      </c>
      <c r="E77" s="44">
        <v>12.8</v>
      </c>
      <c r="F77" s="44">
        <v>1694.5791999999999</v>
      </c>
    </row>
    <row r="78" spans="1:7" s="31" customFormat="1" outlineLevel="1" x14ac:dyDescent="0.25">
      <c r="A78" s="41" t="s">
        <v>151</v>
      </c>
      <c r="B78" s="42" t="s">
        <v>152</v>
      </c>
      <c r="C78" s="43" t="s">
        <v>153</v>
      </c>
      <c r="D78" s="42" t="s">
        <v>30</v>
      </c>
      <c r="E78" s="44">
        <v>1.26</v>
      </c>
      <c r="F78" s="44">
        <v>166.81010000000001</v>
      </c>
    </row>
    <row r="79" spans="1:7" s="36" customFormat="1" outlineLevel="1" x14ac:dyDescent="0.25">
      <c r="A79" s="37" t="s">
        <v>154</v>
      </c>
      <c r="B79" s="38" t="s">
        <v>155</v>
      </c>
      <c r="C79" s="39" t="s">
        <v>156</v>
      </c>
      <c r="D79" s="38" t="s">
        <v>76</v>
      </c>
      <c r="E79" s="46">
        <v>102</v>
      </c>
      <c r="F79" s="40">
        <v>13503.678</v>
      </c>
    </row>
    <row r="80" spans="1:7" s="36" customFormat="1" outlineLevel="1" x14ac:dyDescent="0.25">
      <c r="A80" s="47" t="s">
        <v>157</v>
      </c>
      <c r="B80" s="48" t="s">
        <v>158</v>
      </c>
      <c r="C80" s="49" t="s">
        <v>159</v>
      </c>
      <c r="D80" s="48" t="s">
        <v>76</v>
      </c>
      <c r="E80" s="50">
        <v>104</v>
      </c>
      <c r="F80" s="51">
        <v>13768.456</v>
      </c>
    </row>
    <row r="81" spans="1:7" s="36" customFormat="1" outlineLevel="1" x14ac:dyDescent="0.25">
      <c r="A81" s="47" t="s">
        <v>160</v>
      </c>
      <c r="B81" s="48" t="s">
        <v>161</v>
      </c>
      <c r="C81" s="49" t="s">
        <v>162</v>
      </c>
      <c r="D81" s="48" t="s">
        <v>61</v>
      </c>
      <c r="E81" s="51">
        <v>3.5000000000000001E-3</v>
      </c>
      <c r="F81" s="51">
        <v>0.46336149999999998</v>
      </c>
    </row>
    <row r="82" spans="1:7" s="36" customFormat="1" outlineLevel="1" x14ac:dyDescent="0.25">
      <c r="A82" s="47" t="s">
        <v>163</v>
      </c>
      <c r="B82" s="48" t="s">
        <v>164</v>
      </c>
      <c r="C82" s="49" t="s">
        <v>165</v>
      </c>
      <c r="D82" s="48" t="s">
        <v>166</v>
      </c>
      <c r="E82" s="50">
        <v>150</v>
      </c>
      <c r="F82" s="51">
        <v>19858.349999999999</v>
      </c>
    </row>
    <row r="83" spans="1:7" s="36" customFormat="1" ht="24" outlineLevel="1" x14ac:dyDescent="0.25">
      <c r="A83" s="47" t="s">
        <v>167</v>
      </c>
      <c r="B83" s="48" t="s">
        <v>168</v>
      </c>
      <c r="C83" s="49" t="s">
        <v>169</v>
      </c>
      <c r="D83" s="48" t="s">
        <v>76</v>
      </c>
      <c r="E83" s="51">
        <v>0.51</v>
      </c>
      <c r="F83" s="51">
        <v>67.5184</v>
      </c>
    </row>
    <row r="84" spans="1:7" s="1" customFormat="1" ht="25.5" x14ac:dyDescent="0.25">
      <c r="A84" s="18" t="s">
        <v>170</v>
      </c>
      <c r="B84" s="19" t="s">
        <v>171</v>
      </c>
      <c r="C84" s="19" t="s">
        <v>172</v>
      </c>
      <c r="D84" s="20" t="s">
        <v>61</v>
      </c>
      <c r="E84" s="144">
        <v>61.613100000000003</v>
      </c>
      <c r="F84" s="145"/>
      <c r="G84" s="21"/>
    </row>
    <row r="85" spans="1:7" s="26" customFormat="1" outlineLevel="1" x14ac:dyDescent="0.25">
      <c r="A85" s="22" t="s">
        <v>173</v>
      </c>
      <c r="B85" s="23" t="s">
        <v>19</v>
      </c>
      <c r="C85" s="24" t="s">
        <v>37</v>
      </c>
      <c r="D85" s="23" t="s">
        <v>26</v>
      </c>
      <c r="E85" s="25">
        <v>91.4</v>
      </c>
      <c r="F85" s="25">
        <v>5631.4372999999996</v>
      </c>
    </row>
    <row r="86" spans="1:7" s="36" customFormat="1" outlineLevel="1" x14ac:dyDescent="0.25">
      <c r="A86" s="32" t="s">
        <v>174</v>
      </c>
      <c r="B86" s="33" t="s">
        <v>24</v>
      </c>
      <c r="C86" s="34" t="s">
        <v>25</v>
      </c>
      <c r="D86" s="33" t="s">
        <v>26</v>
      </c>
      <c r="E86" s="35">
        <v>0.38</v>
      </c>
      <c r="F86" s="35">
        <v>23.413</v>
      </c>
    </row>
    <row r="87" spans="1:7" s="31" customFormat="1" ht="24" outlineLevel="1" x14ac:dyDescent="0.25">
      <c r="A87" s="27" t="s">
        <v>175</v>
      </c>
      <c r="B87" s="28" t="s">
        <v>143</v>
      </c>
      <c r="C87" s="29" t="s">
        <v>144</v>
      </c>
      <c r="D87" s="28" t="s">
        <v>30</v>
      </c>
      <c r="E87" s="30">
        <v>0.16</v>
      </c>
      <c r="F87" s="30">
        <v>9.8581000000000003</v>
      </c>
    </row>
    <row r="88" spans="1:7" s="31" customFormat="1" outlineLevel="1" x14ac:dyDescent="0.25">
      <c r="A88" s="41" t="s">
        <v>176</v>
      </c>
      <c r="B88" s="42" t="s">
        <v>152</v>
      </c>
      <c r="C88" s="43" t="s">
        <v>153</v>
      </c>
      <c r="D88" s="42" t="s">
        <v>30</v>
      </c>
      <c r="E88" s="44">
        <v>0.22</v>
      </c>
      <c r="F88" s="44">
        <v>13.5549</v>
      </c>
    </row>
    <row r="89" spans="1:7" s="1" customFormat="1" x14ac:dyDescent="0.25">
      <c r="A89" s="18" t="s">
        <v>177</v>
      </c>
      <c r="B89" s="19"/>
      <c r="C89" s="19" t="s">
        <v>178</v>
      </c>
      <c r="D89" s="20" t="s">
        <v>179</v>
      </c>
      <c r="E89" s="148">
        <v>598185.69999999995</v>
      </c>
      <c r="F89" s="149"/>
      <c r="G89" s="21"/>
    </row>
    <row r="90" spans="1:7" s="1" customFormat="1" x14ac:dyDescent="0.25">
      <c r="A90" s="18" t="s">
        <v>180</v>
      </c>
      <c r="B90" s="19"/>
      <c r="C90" s="19" t="s">
        <v>181</v>
      </c>
      <c r="D90" s="20" t="s">
        <v>182</v>
      </c>
      <c r="E90" s="148">
        <v>0.30809999999999998</v>
      </c>
      <c r="F90" s="149"/>
      <c r="G90" s="21"/>
    </row>
    <row r="91" spans="1:7" s="1" customFormat="1" x14ac:dyDescent="0.25">
      <c r="A91" s="18" t="s">
        <v>183</v>
      </c>
      <c r="B91" s="19"/>
      <c r="C91" s="19" t="s">
        <v>224</v>
      </c>
      <c r="D91" s="20" t="s">
        <v>210</v>
      </c>
      <c r="E91" s="148">
        <v>10761.2</v>
      </c>
      <c r="F91" s="149"/>
      <c r="G91" s="21"/>
    </row>
    <row r="92" spans="1:7" s="1" customFormat="1" ht="12.75" customHeight="1" x14ac:dyDescent="0.25">
      <c r="A92" s="121"/>
      <c r="B92" s="122"/>
      <c r="C92" s="143" t="s">
        <v>225</v>
      </c>
      <c r="D92" s="143"/>
      <c r="E92" s="122"/>
      <c r="F92" s="123"/>
    </row>
    <row r="93" spans="1:7" s="1" customFormat="1" x14ac:dyDescent="0.25">
      <c r="A93" s="18" t="s">
        <v>211</v>
      </c>
      <c r="B93" s="19" t="s">
        <v>227</v>
      </c>
      <c r="C93" s="19" t="s">
        <v>228</v>
      </c>
      <c r="D93" s="20" t="s">
        <v>22</v>
      </c>
      <c r="E93" s="144">
        <v>4.17</v>
      </c>
      <c r="F93" s="145"/>
      <c r="G93" s="21"/>
    </row>
    <row r="94" spans="1:7" s="26" customFormat="1" outlineLevel="1" x14ac:dyDescent="0.25">
      <c r="A94" s="22" t="s">
        <v>212</v>
      </c>
      <c r="B94" s="23" t="s">
        <v>19</v>
      </c>
      <c r="C94" s="24" t="s">
        <v>37</v>
      </c>
      <c r="D94" s="23" t="s">
        <v>26</v>
      </c>
      <c r="E94" s="25">
        <v>18.48</v>
      </c>
      <c r="F94" s="25">
        <v>77.061599999999999</v>
      </c>
    </row>
    <row r="95" spans="1:7" s="36" customFormat="1" outlineLevel="1" x14ac:dyDescent="0.25">
      <c r="A95" s="32" t="s">
        <v>213</v>
      </c>
      <c r="B95" s="33" t="s">
        <v>24</v>
      </c>
      <c r="C95" s="34" t="s">
        <v>25</v>
      </c>
      <c r="D95" s="33" t="s">
        <v>26</v>
      </c>
      <c r="E95" s="35">
        <v>3.25</v>
      </c>
      <c r="F95" s="35">
        <v>13.5525</v>
      </c>
    </row>
    <row r="96" spans="1:7" s="31" customFormat="1" ht="24" outlineLevel="1" x14ac:dyDescent="0.25">
      <c r="A96" s="27" t="s">
        <v>214</v>
      </c>
      <c r="B96" s="28" t="s">
        <v>231</v>
      </c>
      <c r="C96" s="29" t="s">
        <v>232</v>
      </c>
      <c r="D96" s="28" t="s">
        <v>30</v>
      </c>
      <c r="E96" s="30">
        <v>2.59</v>
      </c>
      <c r="F96" s="30">
        <v>10.8003</v>
      </c>
    </row>
    <row r="97" spans="1:7" s="31" customFormat="1" ht="24" outlineLevel="1" x14ac:dyDescent="0.25">
      <c r="A97" s="41" t="s">
        <v>215</v>
      </c>
      <c r="B97" s="42" t="s">
        <v>233</v>
      </c>
      <c r="C97" s="43" t="s">
        <v>234</v>
      </c>
      <c r="D97" s="42" t="s">
        <v>30</v>
      </c>
      <c r="E97" s="44">
        <v>0.45</v>
      </c>
      <c r="F97" s="44">
        <v>1.8765000000000001</v>
      </c>
    </row>
    <row r="98" spans="1:7" s="31" customFormat="1" outlineLevel="1" x14ac:dyDescent="0.25">
      <c r="A98" s="41" t="s">
        <v>218</v>
      </c>
      <c r="B98" s="42" t="s">
        <v>152</v>
      </c>
      <c r="C98" s="43" t="s">
        <v>153</v>
      </c>
      <c r="D98" s="42" t="s">
        <v>30</v>
      </c>
      <c r="E98" s="44">
        <v>0.21</v>
      </c>
      <c r="F98" s="44">
        <v>0.87570000000000003</v>
      </c>
    </row>
    <row r="99" spans="1:7" s="36" customFormat="1" outlineLevel="1" x14ac:dyDescent="0.25">
      <c r="A99" s="37" t="s">
        <v>219</v>
      </c>
      <c r="B99" s="38" t="s">
        <v>235</v>
      </c>
      <c r="C99" s="39" t="s">
        <v>159</v>
      </c>
      <c r="D99" s="38" t="s">
        <v>76</v>
      </c>
      <c r="E99" s="46">
        <v>13</v>
      </c>
      <c r="F99" s="40">
        <v>54.21</v>
      </c>
    </row>
    <row r="100" spans="1:7" s="36" customFormat="1" outlineLevel="1" x14ac:dyDescent="0.25">
      <c r="A100" s="47" t="s">
        <v>1006</v>
      </c>
      <c r="B100" s="48" t="s">
        <v>161</v>
      </c>
      <c r="C100" s="49" t="s">
        <v>162</v>
      </c>
      <c r="D100" s="48" t="s">
        <v>61</v>
      </c>
      <c r="E100" s="51">
        <v>2.9999999999999997E-4</v>
      </c>
      <c r="F100" s="51">
        <v>1.2509999999999999E-3</v>
      </c>
    </row>
    <row r="101" spans="1:7" s="36" customFormat="1" ht="24" outlineLevel="1" x14ac:dyDescent="0.25">
      <c r="A101" s="47" t="s">
        <v>1005</v>
      </c>
      <c r="B101" s="48" t="s">
        <v>168</v>
      </c>
      <c r="C101" s="49" t="s">
        <v>169</v>
      </c>
      <c r="D101" s="48" t="s">
        <v>76</v>
      </c>
      <c r="E101" s="51">
        <v>3.7999999999999999E-2</v>
      </c>
      <c r="F101" s="51">
        <v>0.15845999999999999</v>
      </c>
    </row>
    <row r="102" spans="1:7" s="36" customFormat="1" outlineLevel="1" x14ac:dyDescent="0.25">
      <c r="A102" s="47" t="s">
        <v>1004</v>
      </c>
      <c r="B102" s="48" t="s">
        <v>74</v>
      </c>
      <c r="C102" s="49" t="s">
        <v>75</v>
      </c>
      <c r="D102" s="48" t="s">
        <v>76</v>
      </c>
      <c r="E102" s="50">
        <v>105</v>
      </c>
      <c r="F102" s="51">
        <v>437.85</v>
      </c>
    </row>
    <row r="103" spans="1:7" s="36" customFormat="1" outlineLevel="1" x14ac:dyDescent="0.25">
      <c r="A103" s="47" t="s">
        <v>1003</v>
      </c>
      <c r="B103" s="48" t="s">
        <v>236</v>
      </c>
      <c r="C103" s="49" t="s">
        <v>237</v>
      </c>
      <c r="D103" s="48" t="s">
        <v>210</v>
      </c>
      <c r="E103" s="51">
        <v>7.34</v>
      </c>
      <c r="F103" s="51">
        <v>30.607800000000001</v>
      </c>
    </row>
    <row r="104" spans="1:7" s="1" customFormat="1" ht="38.25" x14ac:dyDescent="0.25">
      <c r="A104" s="18" t="s">
        <v>222</v>
      </c>
      <c r="B104" s="19" t="s">
        <v>239</v>
      </c>
      <c r="C104" s="19" t="s">
        <v>240</v>
      </c>
      <c r="D104" s="20" t="s">
        <v>241</v>
      </c>
      <c r="E104" s="144">
        <v>5.9080000000000004</v>
      </c>
      <c r="F104" s="145"/>
      <c r="G104" s="21"/>
    </row>
    <row r="105" spans="1:7" s="26" customFormat="1" outlineLevel="1" x14ac:dyDescent="0.25">
      <c r="A105" s="22" t="s">
        <v>552</v>
      </c>
      <c r="B105" s="23" t="s">
        <v>19</v>
      </c>
      <c r="C105" s="24" t="s">
        <v>37</v>
      </c>
      <c r="D105" s="23" t="s">
        <v>26</v>
      </c>
      <c r="E105" s="25">
        <v>23.2</v>
      </c>
      <c r="F105" s="25">
        <v>137.06559999999999</v>
      </c>
    </row>
    <row r="106" spans="1:7" s="36" customFormat="1" outlineLevel="1" x14ac:dyDescent="0.25">
      <c r="A106" s="32" t="s">
        <v>553</v>
      </c>
      <c r="B106" s="33" t="s">
        <v>24</v>
      </c>
      <c r="C106" s="34" t="s">
        <v>25</v>
      </c>
      <c r="D106" s="33" t="s">
        <v>26</v>
      </c>
      <c r="E106" s="35">
        <v>0.04</v>
      </c>
      <c r="F106" s="35">
        <v>0.23632</v>
      </c>
    </row>
    <row r="107" spans="1:7" s="31" customFormat="1" outlineLevel="1" x14ac:dyDescent="0.25">
      <c r="A107" s="27" t="s">
        <v>554</v>
      </c>
      <c r="B107" s="28" t="s">
        <v>152</v>
      </c>
      <c r="C107" s="29" t="s">
        <v>153</v>
      </c>
      <c r="D107" s="28" t="s">
        <v>30</v>
      </c>
      <c r="E107" s="30">
        <v>0.04</v>
      </c>
      <c r="F107" s="30">
        <v>0.23632</v>
      </c>
    </row>
    <row r="108" spans="1:7" s="31" customFormat="1" outlineLevel="1" x14ac:dyDescent="0.25">
      <c r="A108" s="41" t="s">
        <v>555</v>
      </c>
      <c r="B108" s="42" t="s">
        <v>243</v>
      </c>
      <c r="C108" s="43" t="s">
        <v>244</v>
      </c>
      <c r="D108" s="42" t="s">
        <v>30</v>
      </c>
      <c r="E108" s="44">
        <v>0.03</v>
      </c>
      <c r="F108" s="44">
        <v>0.17724000000000001</v>
      </c>
    </row>
    <row r="109" spans="1:7" s="36" customFormat="1" outlineLevel="1" x14ac:dyDescent="0.25">
      <c r="A109" s="37" t="s">
        <v>558</v>
      </c>
      <c r="B109" s="38" t="s">
        <v>245</v>
      </c>
      <c r="C109" s="39" t="s">
        <v>246</v>
      </c>
      <c r="D109" s="38" t="s">
        <v>179</v>
      </c>
      <c r="E109" s="46">
        <v>73</v>
      </c>
      <c r="F109" s="40">
        <v>431.28399999999999</v>
      </c>
    </row>
    <row r="110" spans="1:7" s="1" customFormat="1" x14ac:dyDescent="0.25">
      <c r="A110" s="18" t="s">
        <v>223</v>
      </c>
      <c r="B110" s="19"/>
      <c r="C110" s="19" t="s">
        <v>248</v>
      </c>
      <c r="D110" s="20" t="s">
        <v>210</v>
      </c>
      <c r="E110" s="148">
        <v>608.524</v>
      </c>
      <c r="F110" s="149"/>
      <c r="G110" s="21"/>
    </row>
    <row r="111" spans="1:7" s="1" customFormat="1" x14ac:dyDescent="0.25">
      <c r="A111" s="18" t="s">
        <v>226</v>
      </c>
      <c r="B111" s="19" t="s">
        <v>250</v>
      </c>
      <c r="C111" s="19" t="s">
        <v>251</v>
      </c>
      <c r="D111" s="20" t="s">
        <v>252</v>
      </c>
      <c r="E111" s="146">
        <v>3938</v>
      </c>
      <c r="F111" s="147"/>
      <c r="G111" s="21"/>
    </row>
    <row r="112" spans="1:7" s="26" customFormat="1" outlineLevel="1" x14ac:dyDescent="0.25">
      <c r="A112" s="22" t="s">
        <v>229</v>
      </c>
      <c r="B112" s="23" t="s">
        <v>19</v>
      </c>
      <c r="C112" s="24" t="s">
        <v>37</v>
      </c>
      <c r="D112" s="23" t="s">
        <v>26</v>
      </c>
      <c r="E112" s="25">
        <v>0.04</v>
      </c>
      <c r="F112" s="25">
        <v>157.52000000000001</v>
      </c>
    </row>
    <row r="113" spans="1:7" s="31" customFormat="1" ht="24" outlineLevel="1" x14ac:dyDescent="0.25">
      <c r="A113" s="27" t="s">
        <v>230</v>
      </c>
      <c r="B113" s="28" t="s">
        <v>255</v>
      </c>
      <c r="C113" s="29" t="s">
        <v>256</v>
      </c>
      <c r="D113" s="28" t="s">
        <v>30</v>
      </c>
      <c r="E113" s="30">
        <v>0.03</v>
      </c>
      <c r="F113" s="30">
        <v>118.14</v>
      </c>
    </row>
    <row r="114" spans="1:7" s="1" customFormat="1" x14ac:dyDescent="0.25">
      <c r="A114" s="18" t="s">
        <v>238</v>
      </c>
      <c r="B114" s="19"/>
      <c r="C114" s="19" t="s">
        <v>258</v>
      </c>
      <c r="D114" s="20" t="s">
        <v>179</v>
      </c>
      <c r="E114" s="148">
        <v>590.79999999999995</v>
      </c>
      <c r="F114" s="149"/>
      <c r="G114" s="21"/>
    </row>
    <row r="115" spans="1:7" s="1" customFormat="1" x14ac:dyDescent="0.25">
      <c r="A115" s="18" t="s">
        <v>247</v>
      </c>
      <c r="B115" s="19" t="s">
        <v>260</v>
      </c>
      <c r="C115" s="19" t="s">
        <v>261</v>
      </c>
      <c r="D115" s="20" t="s">
        <v>22</v>
      </c>
      <c r="E115" s="144">
        <v>0.158</v>
      </c>
      <c r="F115" s="145"/>
      <c r="G115" s="21"/>
    </row>
    <row r="116" spans="1:7" s="26" customFormat="1" outlineLevel="1" x14ac:dyDescent="0.25">
      <c r="A116" s="22" t="s">
        <v>640</v>
      </c>
      <c r="B116" s="23" t="s">
        <v>19</v>
      </c>
      <c r="C116" s="24" t="s">
        <v>37</v>
      </c>
      <c r="D116" s="23" t="s">
        <v>26</v>
      </c>
      <c r="E116" s="25">
        <v>97.2</v>
      </c>
      <c r="F116" s="25">
        <v>15.3576</v>
      </c>
    </row>
    <row r="117" spans="1:7" s="1" customFormat="1" x14ac:dyDescent="0.25">
      <c r="A117" s="18" t="s">
        <v>249</v>
      </c>
      <c r="B117" s="19"/>
      <c r="C117" s="19" t="s">
        <v>264</v>
      </c>
      <c r="D117" s="20" t="s">
        <v>76</v>
      </c>
      <c r="E117" s="148">
        <v>15.8</v>
      </c>
      <c r="F117" s="149"/>
      <c r="G117" s="21"/>
    </row>
    <row r="118" spans="1:7" s="1" customFormat="1" ht="12.75" customHeight="1" x14ac:dyDescent="0.25">
      <c r="A118" s="121"/>
      <c r="B118" s="122"/>
      <c r="C118" s="143" t="s">
        <v>265</v>
      </c>
      <c r="D118" s="143"/>
      <c r="E118" s="122"/>
      <c r="F118" s="123"/>
    </row>
    <row r="119" spans="1:7" s="1" customFormat="1" ht="76.5" x14ac:dyDescent="0.25">
      <c r="A119" s="18" t="s">
        <v>257</v>
      </c>
      <c r="B119" s="19" t="s">
        <v>267</v>
      </c>
      <c r="C119" s="19" t="s">
        <v>268</v>
      </c>
      <c r="D119" s="20" t="s">
        <v>269</v>
      </c>
      <c r="E119" s="144">
        <v>467.8</v>
      </c>
      <c r="F119" s="145"/>
      <c r="G119" s="21"/>
    </row>
    <row r="120" spans="1:7" s="26" customFormat="1" outlineLevel="1" x14ac:dyDescent="0.25">
      <c r="A120" s="22" t="s">
        <v>661</v>
      </c>
      <c r="B120" s="23" t="s">
        <v>19</v>
      </c>
      <c r="C120" s="24" t="s">
        <v>37</v>
      </c>
      <c r="D120" s="23" t="s">
        <v>26</v>
      </c>
      <c r="E120" s="25">
        <v>1.36</v>
      </c>
      <c r="F120" s="25">
        <v>636.20799999999997</v>
      </c>
    </row>
    <row r="121" spans="1:7" s="36" customFormat="1" outlineLevel="1" x14ac:dyDescent="0.25">
      <c r="A121" s="32" t="s">
        <v>662</v>
      </c>
      <c r="B121" s="33" t="s">
        <v>24</v>
      </c>
      <c r="C121" s="34" t="s">
        <v>25</v>
      </c>
      <c r="D121" s="33" t="s">
        <v>26</v>
      </c>
      <c r="E121" s="35">
        <v>2.68</v>
      </c>
      <c r="F121" s="35">
        <v>1253.704</v>
      </c>
    </row>
    <row r="122" spans="1:7" s="31" customFormat="1" ht="24" outlineLevel="1" x14ac:dyDescent="0.25">
      <c r="A122" s="27" t="s">
        <v>663</v>
      </c>
      <c r="B122" s="28" t="s">
        <v>273</v>
      </c>
      <c r="C122" s="29" t="s">
        <v>274</v>
      </c>
      <c r="D122" s="28" t="s">
        <v>275</v>
      </c>
      <c r="E122" s="30">
        <v>2.68</v>
      </c>
      <c r="F122" s="30">
        <v>1253.704</v>
      </c>
    </row>
    <row r="123" spans="1:7" s="1" customFormat="1" ht="114.75" x14ac:dyDescent="0.25">
      <c r="A123" s="18" t="s">
        <v>259</v>
      </c>
      <c r="B123" s="19" t="s">
        <v>277</v>
      </c>
      <c r="C123" s="19" t="s">
        <v>278</v>
      </c>
      <c r="D123" s="20" t="s">
        <v>22</v>
      </c>
      <c r="E123" s="144">
        <v>46.78</v>
      </c>
      <c r="F123" s="145"/>
      <c r="G123" s="21"/>
    </row>
    <row r="124" spans="1:7" s="26" customFormat="1" outlineLevel="1" x14ac:dyDescent="0.25">
      <c r="A124" s="22" t="s">
        <v>262</v>
      </c>
      <c r="B124" s="23" t="s">
        <v>24</v>
      </c>
      <c r="C124" s="24" t="s">
        <v>25</v>
      </c>
      <c r="D124" s="23" t="s">
        <v>26</v>
      </c>
      <c r="E124" s="25">
        <v>1.992</v>
      </c>
      <c r="F124" s="25">
        <v>93.1858</v>
      </c>
    </row>
    <row r="125" spans="1:7" s="31" customFormat="1" ht="24" outlineLevel="1" x14ac:dyDescent="0.25">
      <c r="A125" s="27" t="s">
        <v>677</v>
      </c>
      <c r="B125" s="28" t="s">
        <v>28</v>
      </c>
      <c r="C125" s="29" t="s">
        <v>29</v>
      </c>
      <c r="D125" s="28" t="s">
        <v>30</v>
      </c>
      <c r="E125" s="30">
        <v>1.992</v>
      </c>
      <c r="F125" s="30">
        <v>93.1858</v>
      </c>
    </row>
    <row r="126" spans="1:7" s="1" customFormat="1" ht="51" x14ac:dyDescent="0.25">
      <c r="A126" s="18" t="s">
        <v>263</v>
      </c>
      <c r="B126" s="19" t="s">
        <v>59</v>
      </c>
      <c r="C126" s="19" t="s">
        <v>281</v>
      </c>
      <c r="D126" s="20" t="s">
        <v>61</v>
      </c>
      <c r="E126" s="144">
        <v>11461.1</v>
      </c>
      <c r="F126" s="145"/>
      <c r="G126" s="21"/>
    </row>
    <row r="127" spans="1:7" s="26" customFormat="1" outlineLevel="1" x14ac:dyDescent="0.25">
      <c r="A127" s="22" t="s">
        <v>687</v>
      </c>
      <c r="B127" s="23" t="s">
        <v>24</v>
      </c>
      <c r="C127" s="24" t="s">
        <v>25</v>
      </c>
      <c r="D127" s="23" t="s">
        <v>26</v>
      </c>
      <c r="E127" s="25">
        <v>2.5132999999999999E-2</v>
      </c>
      <c r="F127" s="25">
        <v>288.05180000000001</v>
      </c>
    </row>
    <row r="128" spans="1:7" s="31" customFormat="1" outlineLevel="1" x14ac:dyDescent="0.25">
      <c r="A128" s="27" t="s">
        <v>688</v>
      </c>
      <c r="B128" s="28" t="s">
        <v>64</v>
      </c>
      <c r="C128" s="29" t="s">
        <v>65</v>
      </c>
      <c r="D128" s="28" t="s">
        <v>30</v>
      </c>
      <c r="E128" s="30">
        <v>2.5132999999999999E-2</v>
      </c>
      <c r="F128" s="30">
        <v>288.05180000000001</v>
      </c>
    </row>
    <row r="129" spans="1:7" s="1" customFormat="1" ht="25.5" x14ac:dyDescent="0.25">
      <c r="A129" s="18" t="s">
        <v>266</v>
      </c>
      <c r="B129" s="19" t="s">
        <v>285</v>
      </c>
      <c r="C129" s="19" t="s">
        <v>286</v>
      </c>
      <c r="D129" s="20" t="s">
        <v>45</v>
      </c>
      <c r="E129" s="144">
        <v>4.6779999999999999</v>
      </c>
      <c r="F129" s="145"/>
      <c r="G129" s="21"/>
    </row>
    <row r="130" spans="1:7" s="26" customFormat="1" outlineLevel="1" x14ac:dyDescent="0.25">
      <c r="A130" s="22" t="s">
        <v>270</v>
      </c>
      <c r="B130" s="23" t="s">
        <v>24</v>
      </c>
      <c r="C130" s="24" t="s">
        <v>25</v>
      </c>
      <c r="D130" s="23" t="s">
        <v>26</v>
      </c>
      <c r="E130" s="25">
        <v>7.26</v>
      </c>
      <c r="F130" s="25">
        <v>33.962299999999999</v>
      </c>
    </row>
    <row r="131" spans="1:7" s="31" customFormat="1" outlineLevel="1" x14ac:dyDescent="0.25">
      <c r="A131" s="27" t="s">
        <v>271</v>
      </c>
      <c r="B131" s="28" t="s">
        <v>71</v>
      </c>
      <c r="C131" s="29" t="s">
        <v>72</v>
      </c>
      <c r="D131" s="28" t="s">
        <v>30</v>
      </c>
      <c r="E131" s="30">
        <v>7.26</v>
      </c>
      <c r="F131" s="30">
        <v>33.962299999999999</v>
      </c>
    </row>
    <row r="132" spans="1:7" s="36" customFormat="1" outlineLevel="1" x14ac:dyDescent="0.25">
      <c r="A132" s="37" t="s">
        <v>272</v>
      </c>
      <c r="B132" s="38" t="s">
        <v>74</v>
      </c>
      <c r="C132" s="39" t="s">
        <v>75</v>
      </c>
      <c r="D132" s="38" t="s">
        <v>76</v>
      </c>
      <c r="E132" s="40">
        <v>1.2</v>
      </c>
      <c r="F132" s="40">
        <v>5.6135999999999999</v>
      </c>
    </row>
    <row r="133" spans="1:7" s="1" customFormat="1" ht="13.5" thickBot="1" x14ac:dyDescent="0.3">
      <c r="A133" s="150"/>
      <c r="B133" s="151"/>
      <c r="C133" s="151"/>
      <c r="D133" s="151"/>
      <c r="E133" s="151"/>
      <c r="F133" s="152"/>
    </row>
    <row r="134" spans="1:7" s="1" customFormat="1" ht="13.5" thickTop="1" x14ac:dyDescent="0.25">
      <c r="A134" s="153" t="s">
        <v>290</v>
      </c>
      <c r="B134" s="154"/>
      <c r="C134" s="154"/>
      <c r="D134" s="52"/>
      <c r="E134" s="53"/>
      <c r="F134" s="54"/>
      <c r="G134" s="21"/>
    </row>
    <row r="135" spans="1:7" s="1" customFormat="1" x14ac:dyDescent="0.25">
      <c r="A135" s="155"/>
      <c r="B135" s="156"/>
      <c r="C135" s="156"/>
      <c r="D135" s="156"/>
      <c r="E135" s="156"/>
      <c r="F135" s="157"/>
    </row>
    <row r="136" spans="1:7" s="1" customFormat="1" x14ac:dyDescent="0.25">
      <c r="A136" s="55"/>
      <c r="B136" s="125"/>
      <c r="C136" s="57" t="s">
        <v>291</v>
      </c>
      <c r="D136" s="58"/>
      <c r="E136" s="59"/>
      <c r="F136" s="60"/>
    </row>
    <row r="137" spans="1:7" s="1" customFormat="1" x14ac:dyDescent="0.25">
      <c r="A137" s="61" t="s">
        <v>19</v>
      </c>
      <c r="B137" s="62" t="s">
        <v>19</v>
      </c>
      <c r="C137" s="62" t="s">
        <v>37</v>
      </c>
      <c r="D137" s="63" t="s">
        <v>26</v>
      </c>
      <c r="E137" s="64"/>
      <c r="F137" s="65">
        <v>58395.114300000001</v>
      </c>
    </row>
    <row r="138" spans="1:7" s="1" customFormat="1" x14ac:dyDescent="0.25">
      <c r="A138" s="61" t="s">
        <v>31</v>
      </c>
      <c r="B138" s="62" t="s">
        <v>24</v>
      </c>
      <c r="C138" s="62" t="s">
        <v>25</v>
      </c>
      <c r="D138" s="63" t="s">
        <v>26</v>
      </c>
      <c r="E138" s="64"/>
      <c r="F138" s="65">
        <v>6989.9955</v>
      </c>
    </row>
    <row r="139" spans="1:7" s="1" customFormat="1" x14ac:dyDescent="0.25">
      <c r="A139" s="55"/>
      <c r="B139" s="125"/>
      <c r="C139" s="57" t="s">
        <v>292</v>
      </c>
      <c r="D139" s="58"/>
      <c r="E139" s="59"/>
      <c r="F139" s="60"/>
    </row>
    <row r="140" spans="1:7" s="1" customFormat="1" x14ac:dyDescent="0.25">
      <c r="A140" s="61" t="s">
        <v>24</v>
      </c>
      <c r="B140" s="62" t="s">
        <v>71</v>
      </c>
      <c r="C140" s="62" t="s">
        <v>72</v>
      </c>
      <c r="D140" s="63" t="s">
        <v>30</v>
      </c>
      <c r="E140" s="64"/>
      <c r="F140" s="65">
        <v>112.3703</v>
      </c>
    </row>
    <row r="141" spans="1:7" s="1" customFormat="1" x14ac:dyDescent="0.25">
      <c r="A141" s="61" t="s">
        <v>42</v>
      </c>
      <c r="B141" s="62" t="s">
        <v>104</v>
      </c>
      <c r="C141" s="62" t="s">
        <v>105</v>
      </c>
      <c r="D141" s="63" t="s">
        <v>30</v>
      </c>
      <c r="E141" s="64"/>
      <c r="F141" s="65">
        <v>11.2539</v>
      </c>
    </row>
    <row r="142" spans="1:7" s="1" customFormat="1" x14ac:dyDescent="0.25">
      <c r="A142" s="61" t="s">
        <v>50</v>
      </c>
      <c r="B142" s="62" t="s">
        <v>48</v>
      </c>
      <c r="C142" s="62" t="s">
        <v>49</v>
      </c>
      <c r="D142" s="63" t="s">
        <v>30</v>
      </c>
      <c r="E142" s="64"/>
      <c r="F142" s="65">
        <v>29.995699999999999</v>
      </c>
    </row>
    <row r="143" spans="1:7" s="1" customFormat="1" ht="24" x14ac:dyDescent="0.25">
      <c r="A143" s="61" t="s">
        <v>58</v>
      </c>
      <c r="B143" s="62" t="s">
        <v>231</v>
      </c>
      <c r="C143" s="62" t="s">
        <v>232</v>
      </c>
      <c r="D143" s="63" t="s">
        <v>30</v>
      </c>
      <c r="E143" s="64"/>
      <c r="F143" s="65">
        <v>10.8003</v>
      </c>
    </row>
    <row r="144" spans="1:7" s="1" customFormat="1" ht="24" x14ac:dyDescent="0.25">
      <c r="A144" s="61" t="s">
        <v>66</v>
      </c>
      <c r="B144" s="62" t="s">
        <v>82</v>
      </c>
      <c r="C144" s="62" t="s">
        <v>83</v>
      </c>
      <c r="D144" s="63" t="s">
        <v>30</v>
      </c>
      <c r="E144" s="64"/>
      <c r="F144" s="65">
        <v>227.10419999999999</v>
      </c>
    </row>
    <row r="145" spans="1:6" s="1" customFormat="1" x14ac:dyDescent="0.25">
      <c r="A145" s="61" t="s">
        <v>77</v>
      </c>
      <c r="B145" s="62" t="s">
        <v>140</v>
      </c>
      <c r="C145" s="62" t="s">
        <v>141</v>
      </c>
      <c r="D145" s="63" t="s">
        <v>30</v>
      </c>
      <c r="E145" s="64"/>
      <c r="F145" s="65">
        <v>6778.3167999999996</v>
      </c>
    </row>
    <row r="146" spans="1:6" s="1" customFormat="1" ht="24" x14ac:dyDescent="0.25">
      <c r="A146" s="61" t="s">
        <v>84</v>
      </c>
      <c r="B146" s="62" t="s">
        <v>93</v>
      </c>
      <c r="C146" s="62" t="s">
        <v>94</v>
      </c>
      <c r="D146" s="63" t="s">
        <v>30</v>
      </c>
      <c r="E146" s="64"/>
      <c r="F146" s="65">
        <v>548.81119999999999</v>
      </c>
    </row>
    <row r="147" spans="1:6" s="1" customFormat="1" ht="24" x14ac:dyDescent="0.25">
      <c r="A147" s="61" t="s">
        <v>87</v>
      </c>
      <c r="B147" s="62" t="s">
        <v>233</v>
      </c>
      <c r="C147" s="62" t="s">
        <v>234</v>
      </c>
      <c r="D147" s="63" t="s">
        <v>30</v>
      </c>
      <c r="E147" s="64"/>
      <c r="F147" s="65">
        <v>1.8765000000000001</v>
      </c>
    </row>
    <row r="148" spans="1:6" s="1" customFormat="1" x14ac:dyDescent="0.25">
      <c r="A148" s="61" t="s">
        <v>98</v>
      </c>
      <c r="B148" s="62" t="s">
        <v>143</v>
      </c>
      <c r="C148" s="62" t="s">
        <v>144</v>
      </c>
      <c r="D148" s="63" t="s">
        <v>30</v>
      </c>
      <c r="E148" s="64"/>
      <c r="F148" s="65">
        <v>226.9761</v>
      </c>
    </row>
    <row r="149" spans="1:6" s="1" customFormat="1" x14ac:dyDescent="0.25">
      <c r="A149" s="61" t="s">
        <v>106</v>
      </c>
      <c r="B149" s="62" t="s">
        <v>146</v>
      </c>
      <c r="C149" s="62" t="s">
        <v>147</v>
      </c>
      <c r="D149" s="63" t="s">
        <v>30</v>
      </c>
      <c r="E149" s="64"/>
      <c r="F149" s="65">
        <v>582.51160000000004</v>
      </c>
    </row>
    <row r="150" spans="1:6" s="1" customFormat="1" x14ac:dyDescent="0.25">
      <c r="A150" s="61" t="s">
        <v>114</v>
      </c>
      <c r="B150" s="62" t="s">
        <v>40</v>
      </c>
      <c r="C150" s="62" t="s">
        <v>41</v>
      </c>
      <c r="D150" s="63" t="s">
        <v>30</v>
      </c>
      <c r="E150" s="64"/>
      <c r="F150" s="65">
        <v>21.945</v>
      </c>
    </row>
    <row r="151" spans="1:6" s="1" customFormat="1" x14ac:dyDescent="0.25">
      <c r="A151" s="61" t="s">
        <v>119</v>
      </c>
      <c r="B151" s="62" t="s">
        <v>96</v>
      </c>
      <c r="C151" s="62" t="s">
        <v>97</v>
      </c>
      <c r="D151" s="63" t="s">
        <v>30</v>
      </c>
      <c r="E151" s="64"/>
      <c r="F151" s="65">
        <v>2198.8553999999999</v>
      </c>
    </row>
    <row r="152" spans="1:6" s="1" customFormat="1" ht="24" x14ac:dyDescent="0.25">
      <c r="A152" s="61" t="s">
        <v>123</v>
      </c>
      <c r="B152" s="62" t="s">
        <v>112</v>
      </c>
      <c r="C152" s="62" t="s">
        <v>113</v>
      </c>
      <c r="D152" s="63" t="s">
        <v>30</v>
      </c>
      <c r="E152" s="64"/>
      <c r="F152" s="65">
        <v>904.20060000000001</v>
      </c>
    </row>
    <row r="153" spans="1:6" s="1" customFormat="1" x14ac:dyDescent="0.25">
      <c r="A153" s="61" t="s">
        <v>128</v>
      </c>
      <c r="B153" s="62" t="s">
        <v>149</v>
      </c>
      <c r="C153" s="62" t="s">
        <v>150</v>
      </c>
      <c r="D153" s="63" t="s">
        <v>30</v>
      </c>
      <c r="E153" s="64"/>
      <c r="F153" s="65">
        <v>1694.5791999999999</v>
      </c>
    </row>
    <row r="154" spans="1:6" s="1" customFormat="1" ht="24" x14ac:dyDescent="0.25">
      <c r="A154" s="61" t="s">
        <v>134</v>
      </c>
      <c r="B154" s="62" t="s">
        <v>273</v>
      </c>
      <c r="C154" s="62" t="s">
        <v>274</v>
      </c>
      <c r="D154" s="63" t="s">
        <v>275</v>
      </c>
      <c r="E154" s="64"/>
      <c r="F154" s="65">
        <v>1253.704</v>
      </c>
    </row>
    <row r="155" spans="1:6" s="1" customFormat="1" x14ac:dyDescent="0.25">
      <c r="A155" s="61" t="s">
        <v>170</v>
      </c>
      <c r="B155" s="62" t="s">
        <v>152</v>
      </c>
      <c r="C155" s="62" t="s">
        <v>153</v>
      </c>
      <c r="D155" s="63" t="s">
        <v>30</v>
      </c>
      <c r="E155" s="64"/>
      <c r="F155" s="65">
        <v>181.477</v>
      </c>
    </row>
    <row r="156" spans="1:6" s="1" customFormat="1" x14ac:dyDescent="0.25">
      <c r="A156" s="61" t="s">
        <v>177</v>
      </c>
      <c r="B156" s="62" t="s">
        <v>243</v>
      </c>
      <c r="C156" s="62" t="s">
        <v>244</v>
      </c>
      <c r="D156" s="63" t="s">
        <v>30</v>
      </c>
      <c r="E156" s="64"/>
      <c r="F156" s="65">
        <v>0.17724000000000001</v>
      </c>
    </row>
    <row r="157" spans="1:6" s="1" customFormat="1" ht="24" x14ac:dyDescent="0.25">
      <c r="A157" s="61" t="s">
        <v>180</v>
      </c>
      <c r="B157" s="62" t="s">
        <v>255</v>
      </c>
      <c r="C157" s="62" t="s">
        <v>256</v>
      </c>
      <c r="D157" s="63" t="s">
        <v>30</v>
      </c>
      <c r="E157" s="64"/>
      <c r="F157" s="65">
        <v>118.14</v>
      </c>
    </row>
    <row r="158" spans="1:6" s="1" customFormat="1" ht="24" x14ac:dyDescent="0.25">
      <c r="A158" s="61" t="s">
        <v>183</v>
      </c>
      <c r="B158" s="62" t="s">
        <v>28</v>
      </c>
      <c r="C158" s="62" t="s">
        <v>29</v>
      </c>
      <c r="D158" s="63" t="s">
        <v>30</v>
      </c>
      <c r="E158" s="64"/>
      <c r="F158" s="65">
        <v>269.32549999999998</v>
      </c>
    </row>
    <row r="159" spans="1:6" s="1" customFormat="1" ht="24" x14ac:dyDescent="0.25">
      <c r="A159" s="61" t="s">
        <v>211</v>
      </c>
      <c r="B159" s="62" t="s">
        <v>56</v>
      </c>
      <c r="C159" s="62" t="s">
        <v>57</v>
      </c>
      <c r="D159" s="63" t="s">
        <v>30</v>
      </c>
      <c r="E159" s="64"/>
      <c r="F159" s="65">
        <v>77.616</v>
      </c>
    </row>
    <row r="160" spans="1:6" s="1" customFormat="1" x14ac:dyDescent="0.25">
      <c r="A160" s="61" t="s">
        <v>222</v>
      </c>
      <c r="B160" s="62" t="s">
        <v>64</v>
      </c>
      <c r="C160" s="62" t="s">
        <v>65</v>
      </c>
      <c r="D160" s="63" t="s">
        <v>30</v>
      </c>
      <c r="E160" s="64"/>
      <c r="F160" s="65">
        <v>835.44860000000006</v>
      </c>
    </row>
    <row r="161" spans="1:6" s="1" customFormat="1" x14ac:dyDescent="0.25">
      <c r="A161" s="55"/>
      <c r="B161" s="125"/>
      <c r="C161" s="57" t="s">
        <v>293</v>
      </c>
      <c r="D161" s="58"/>
      <c r="E161" s="59"/>
      <c r="F161" s="60"/>
    </row>
    <row r="162" spans="1:6" s="1" customFormat="1" x14ac:dyDescent="0.25">
      <c r="A162" s="61" t="s">
        <v>223</v>
      </c>
      <c r="B162" s="62" t="s">
        <v>155</v>
      </c>
      <c r="C162" s="62" t="s">
        <v>156</v>
      </c>
      <c r="D162" s="63" t="s">
        <v>76</v>
      </c>
      <c r="E162" s="64"/>
      <c r="F162" s="65">
        <v>13503.678</v>
      </c>
    </row>
    <row r="163" spans="1:6" s="1" customFormat="1" x14ac:dyDescent="0.25">
      <c r="A163" s="61" t="s">
        <v>226</v>
      </c>
      <c r="B163" s="62" t="s">
        <v>158</v>
      </c>
      <c r="C163" s="62" t="s">
        <v>159</v>
      </c>
      <c r="D163" s="63" t="s">
        <v>76</v>
      </c>
      <c r="E163" s="64"/>
      <c r="F163" s="65">
        <v>13768.456</v>
      </c>
    </row>
    <row r="164" spans="1:6" s="1" customFormat="1" x14ac:dyDescent="0.25">
      <c r="A164" s="61" t="s">
        <v>238</v>
      </c>
      <c r="B164" s="62" t="s">
        <v>235</v>
      </c>
      <c r="C164" s="62" t="s">
        <v>159</v>
      </c>
      <c r="D164" s="63" t="s">
        <v>76</v>
      </c>
      <c r="E164" s="64"/>
      <c r="F164" s="65">
        <v>54.21</v>
      </c>
    </row>
    <row r="165" spans="1:6" s="1" customFormat="1" x14ac:dyDescent="0.25">
      <c r="A165" s="61" t="s">
        <v>247</v>
      </c>
      <c r="B165" s="62" t="s">
        <v>161</v>
      </c>
      <c r="C165" s="62" t="s">
        <v>162</v>
      </c>
      <c r="D165" s="63" t="s">
        <v>61</v>
      </c>
      <c r="E165" s="64"/>
      <c r="F165" s="65">
        <v>0.46461249999999998</v>
      </c>
    </row>
    <row r="166" spans="1:6" s="1" customFormat="1" x14ac:dyDescent="0.25">
      <c r="A166" s="61" t="s">
        <v>249</v>
      </c>
      <c r="B166" s="62" t="s">
        <v>164</v>
      </c>
      <c r="C166" s="62" t="s">
        <v>165</v>
      </c>
      <c r="D166" s="63" t="s">
        <v>166</v>
      </c>
      <c r="E166" s="64"/>
      <c r="F166" s="65">
        <v>19858.349999999999</v>
      </c>
    </row>
    <row r="167" spans="1:6" s="1" customFormat="1" ht="24" x14ac:dyDescent="0.25">
      <c r="A167" s="61" t="s">
        <v>257</v>
      </c>
      <c r="B167" s="62" t="s">
        <v>168</v>
      </c>
      <c r="C167" s="62" t="s">
        <v>169</v>
      </c>
      <c r="D167" s="63" t="s">
        <v>76</v>
      </c>
      <c r="E167" s="64"/>
      <c r="F167" s="65">
        <v>67.676900000000003</v>
      </c>
    </row>
    <row r="168" spans="1:6" s="1" customFormat="1" x14ac:dyDescent="0.25">
      <c r="A168" s="61" t="s">
        <v>259</v>
      </c>
      <c r="B168" s="62" t="s">
        <v>74</v>
      </c>
      <c r="C168" s="62" t="s">
        <v>75</v>
      </c>
      <c r="D168" s="63" t="s">
        <v>76</v>
      </c>
      <c r="E168" s="64"/>
      <c r="F168" s="65">
        <v>451.3836</v>
      </c>
    </row>
    <row r="169" spans="1:6" s="1" customFormat="1" x14ac:dyDescent="0.25">
      <c r="A169" s="61" t="s">
        <v>263</v>
      </c>
      <c r="B169" s="62" t="s">
        <v>236</v>
      </c>
      <c r="C169" s="62" t="s">
        <v>237</v>
      </c>
      <c r="D169" s="63" t="s">
        <v>210</v>
      </c>
      <c r="E169" s="64"/>
      <c r="F169" s="65">
        <v>30.607800000000001</v>
      </c>
    </row>
    <row r="170" spans="1:6" s="1" customFormat="1" x14ac:dyDescent="0.25">
      <c r="A170" s="61" t="s">
        <v>266</v>
      </c>
      <c r="B170" s="62" t="s">
        <v>245</v>
      </c>
      <c r="C170" s="62" t="s">
        <v>246</v>
      </c>
      <c r="D170" s="63" t="s">
        <v>179</v>
      </c>
      <c r="E170" s="64"/>
      <c r="F170" s="65">
        <v>431.28399999999999</v>
      </c>
    </row>
    <row r="171" spans="1:6" s="1" customFormat="1" x14ac:dyDescent="0.25">
      <c r="A171" s="55"/>
      <c r="B171" s="125"/>
      <c r="C171" s="57" t="s">
        <v>302</v>
      </c>
      <c r="D171" s="58"/>
      <c r="E171" s="59"/>
      <c r="F171" s="60"/>
    </row>
    <row r="172" spans="1:6" s="1" customFormat="1" x14ac:dyDescent="0.25">
      <c r="A172" s="61" t="s">
        <v>276</v>
      </c>
      <c r="B172" s="62"/>
      <c r="C172" s="62" t="s">
        <v>178</v>
      </c>
      <c r="D172" s="63" t="s">
        <v>179</v>
      </c>
      <c r="E172" s="64"/>
      <c r="F172" s="65">
        <v>598185.69999999995</v>
      </c>
    </row>
    <row r="173" spans="1:6" s="1" customFormat="1" x14ac:dyDescent="0.25">
      <c r="A173" s="61" t="s">
        <v>280</v>
      </c>
      <c r="B173" s="62"/>
      <c r="C173" s="62" t="s">
        <v>264</v>
      </c>
      <c r="D173" s="63" t="s">
        <v>76</v>
      </c>
      <c r="E173" s="64"/>
      <c r="F173" s="65">
        <v>15.8</v>
      </c>
    </row>
    <row r="174" spans="1:6" s="1" customFormat="1" x14ac:dyDescent="0.25">
      <c r="A174" s="61" t="s">
        <v>284</v>
      </c>
      <c r="B174" s="62"/>
      <c r="C174" s="62" t="s">
        <v>258</v>
      </c>
      <c r="D174" s="63" t="s">
        <v>179</v>
      </c>
      <c r="E174" s="64"/>
      <c r="F174" s="65">
        <v>590.79999999999995</v>
      </c>
    </row>
    <row r="175" spans="1:6" s="1" customFormat="1" x14ac:dyDescent="0.25">
      <c r="A175" s="61" t="s">
        <v>294</v>
      </c>
      <c r="B175" s="62"/>
      <c r="C175" s="62" t="s">
        <v>248</v>
      </c>
      <c r="D175" s="63" t="s">
        <v>210</v>
      </c>
      <c r="E175" s="64"/>
      <c r="F175" s="65">
        <v>608.524</v>
      </c>
    </row>
    <row r="176" spans="1:6" s="1" customFormat="1" x14ac:dyDescent="0.25">
      <c r="A176" s="61" t="s">
        <v>295</v>
      </c>
      <c r="B176" s="62"/>
      <c r="C176" s="62" t="s">
        <v>224</v>
      </c>
      <c r="D176" s="63" t="s">
        <v>210</v>
      </c>
      <c r="E176" s="64"/>
      <c r="F176" s="65">
        <v>10761.2</v>
      </c>
    </row>
    <row r="177" spans="1:6" s="1" customFormat="1" x14ac:dyDescent="0.25">
      <c r="A177" s="61" t="s">
        <v>296</v>
      </c>
      <c r="B177" s="62"/>
      <c r="C177" s="62" t="s">
        <v>181</v>
      </c>
      <c r="D177" s="63" t="s">
        <v>182</v>
      </c>
      <c r="E177" s="64"/>
      <c r="F177" s="65">
        <v>0.30809999999999998</v>
      </c>
    </row>
    <row r="178" spans="1:6" s="1" customFormat="1" x14ac:dyDescent="0.25">
      <c r="A178" s="158"/>
      <c r="B178" s="158"/>
      <c r="C178" s="158"/>
      <c r="D178" s="158"/>
      <c r="E178" s="158"/>
      <c r="F178" s="158"/>
    </row>
    <row r="179" spans="1:6" s="1" customFormat="1" x14ac:dyDescent="0.25">
      <c r="A179" s="66"/>
      <c r="B179" s="159" t="s">
        <v>310</v>
      </c>
      <c r="C179" s="159"/>
      <c r="D179" s="159" t="s">
        <v>311</v>
      </c>
      <c r="E179" s="159"/>
      <c r="F179" s="159"/>
    </row>
  </sheetData>
  <mergeCells count="55">
    <mergeCell ref="E129:F129"/>
    <mergeCell ref="A133:F133"/>
    <mergeCell ref="A134:C134"/>
    <mergeCell ref="A135:F135"/>
    <mergeCell ref="A178:F178"/>
    <mergeCell ref="B179:C179"/>
    <mergeCell ref="D179:F179"/>
    <mergeCell ref="E115:F115"/>
    <mergeCell ref="E117:F117"/>
    <mergeCell ref="C118:D118"/>
    <mergeCell ref="E119:F119"/>
    <mergeCell ref="E123:F123"/>
    <mergeCell ref="E126:F126"/>
    <mergeCell ref="C92:D92"/>
    <mergeCell ref="E93:F93"/>
    <mergeCell ref="E104:F104"/>
    <mergeCell ref="E110:F110"/>
    <mergeCell ref="E111:F111"/>
    <mergeCell ref="E114:F114"/>
    <mergeCell ref="C70:D70"/>
    <mergeCell ref="E71:F71"/>
    <mergeCell ref="E84:F84"/>
    <mergeCell ref="E89:F89"/>
    <mergeCell ref="E90:F90"/>
    <mergeCell ref="E91:F91"/>
    <mergeCell ref="E51:F51"/>
    <mergeCell ref="E54:F54"/>
    <mergeCell ref="E58:F58"/>
    <mergeCell ref="E61:F61"/>
    <mergeCell ref="E64:F64"/>
    <mergeCell ref="E67:F67"/>
    <mergeCell ref="E30:F30"/>
    <mergeCell ref="E33:F33"/>
    <mergeCell ref="E36:F36"/>
    <mergeCell ref="E40:F40"/>
    <mergeCell ref="E43:F43"/>
    <mergeCell ref="E46:F46"/>
    <mergeCell ref="A15:F15"/>
    <mergeCell ref="C16:D16"/>
    <mergeCell ref="E17:F17"/>
    <mergeCell ref="E20:F20"/>
    <mergeCell ref="E23:F23"/>
    <mergeCell ref="E27:F27"/>
    <mergeCell ref="C11:F11"/>
    <mergeCell ref="A12:A13"/>
    <mergeCell ref="B12:B13"/>
    <mergeCell ref="C12:C13"/>
    <mergeCell ref="D12:D13"/>
    <mergeCell ref="E12:F12"/>
    <mergeCell ref="B2:F2"/>
    <mergeCell ref="B3:F3"/>
    <mergeCell ref="D5:F5"/>
    <mergeCell ref="B6:F6"/>
    <mergeCell ref="B8:F8"/>
    <mergeCell ref="B9:F9"/>
  </mergeCells>
  <printOptions horizontalCentered="1"/>
  <pageMargins left="0.39" right="0.39" top="0.59" bottom="0.59" header="0.39" footer="0.39"/>
  <pageSetup paperSize="9" fitToHeight="10000" orientation="portrait" horizontalDpi="300" verticalDpi="300"/>
  <headerFooter>
    <oddHeader>&amp;Л&amp;9ПРОГРАММНЫЙ КОМПЛЕКС АВС-UZ (РЕДАКЦИЯ 2026.4)&amp;Ц&amp;С&amp;П202611400</oddHeader>
    <oddFooter>&amp;ЦСтраниц - &amp;К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6543-7082-4F02-AEDD-F9E490A229BB}">
  <sheetPr>
    <pageSetUpPr fitToPage="1"/>
  </sheetPr>
  <dimension ref="A1:K76"/>
  <sheetViews>
    <sheetView showGridLines="0" topLeftCell="A48" workbookViewId="0">
      <selection activeCell="G70" sqref="G70"/>
    </sheetView>
  </sheetViews>
  <sheetFormatPr defaultRowHeight="12.75" x14ac:dyDescent="0.2"/>
  <cols>
    <col min="1" max="1" width="4.5703125" style="14" customWidth="1"/>
    <col min="2" max="2" width="13.5703125" style="14" customWidth="1"/>
    <col min="3" max="3" width="52.140625" style="14" customWidth="1"/>
    <col min="4" max="4" width="10.140625" style="14" customWidth="1"/>
    <col min="5" max="6" width="10.85546875" style="14" bestFit="1" customWidth="1"/>
    <col min="7" max="7" width="17.7109375" style="14" bestFit="1" customWidth="1"/>
    <col min="8" max="9" width="10.140625" style="14" customWidth="1"/>
    <col min="10" max="10" width="9.140625" style="14"/>
    <col min="11" max="11" width="15.7109375" style="14" bestFit="1" customWidth="1"/>
    <col min="12" max="16384" width="9.140625" style="14"/>
  </cols>
  <sheetData>
    <row r="1" spans="1:10" s="1" customFormat="1" x14ac:dyDescent="0.25">
      <c r="I1" s="2" t="s">
        <v>312</v>
      </c>
    </row>
    <row r="2" spans="1:10" s="1" customFormat="1" x14ac:dyDescent="0.25">
      <c r="B2" s="131" t="s">
        <v>1</v>
      </c>
      <c r="C2" s="131"/>
      <c r="D2" s="131"/>
      <c r="E2" s="131"/>
      <c r="F2" s="131"/>
      <c r="G2" s="131"/>
      <c r="H2" s="131"/>
    </row>
    <row r="3" spans="1:10" s="1" customFormat="1" x14ac:dyDescent="0.25">
      <c r="A3" s="3"/>
      <c r="B3" s="132" t="s">
        <v>2</v>
      </c>
      <c r="C3" s="132"/>
      <c r="D3" s="132"/>
      <c r="E3" s="132"/>
      <c r="F3" s="132"/>
      <c r="G3" s="132"/>
      <c r="H3" s="132"/>
    </row>
    <row r="4" spans="1:10" s="1" customFormat="1" x14ac:dyDescent="0.25">
      <c r="C4" s="4"/>
      <c r="D4" s="4"/>
      <c r="E4" s="4"/>
      <c r="F4" s="4"/>
      <c r="G4" s="4"/>
      <c r="H4" s="4"/>
      <c r="I4" s="4"/>
    </row>
    <row r="5" spans="1:10" s="1" customFormat="1" ht="15.75" x14ac:dyDescent="0.25">
      <c r="A5" s="5"/>
      <c r="B5" s="5"/>
      <c r="C5" s="6" t="s">
        <v>313</v>
      </c>
      <c r="D5" s="6" t="s">
        <v>314</v>
      </c>
      <c r="E5" s="133" t="s">
        <v>4</v>
      </c>
      <c r="F5" s="133"/>
      <c r="G5" s="133"/>
      <c r="H5" s="133"/>
      <c r="I5" s="67"/>
    </row>
    <row r="6" spans="1:10" s="1" customFormat="1" x14ac:dyDescent="0.25">
      <c r="A6" s="3"/>
      <c r="B6" s="134" t="s">
        <v>5</v>
      </c>
      <c r="C6" s="134"/>
      <c r="D6" s="134"/>
      <c r="E6" s="134"/>
      <c r="F6" s="134"/>
      <c r="G6" s="134"/>
      <c r="H6" s="134"/>
    </row>
    <row r="7" spans="1:10" s="1" customFormat="1" x14ac:dyDescent="0.25">
      <c r="D7" s="4"/>
      <c r="F7" s="160" t="s">
        <v>6</v>
      </c>
      <c r="G7" s="160"/>
      <c r="H7" s="161"/>
      <c r="I7" s="161"/>
    </row>
    <row r="8" spans="1:10" s="1" customFormat="1" x14ac:dyDescent="0.25">
      <c r="A8" s="7" t="s">
        <v>7</v>
      </c>
      <c r="B8" s="131" t="s">
        <v>8</v>
      </c>
      <c r="C8" s="131"/>
      <c r="D8" s="131"/>
      <c r="E8" s="131"/>
      <c r="F8" s="131"/>
      <c r="G8" s="131"/>
      <c r="H8" s="131"/>
      <c r="I8" s="4"/>
    </row>
    <row r="9" spans="1:10" s="1" customFormat="1" x14ac:dyDescent="0.25">
      <c r="A9" s="3"/>
      <c r="B9" s="132" t="s">
        <v>9</v>
      </c>
      <c r="C9" s="132"/>
      <c r="D9" s="132"/>
      <c r="E9" s="132"/>
      <c r="F9" s="132"/>
      <c r="G9" s="132"/>
      <c r="H9" s="132"/>
    </row>
    <row r="10" spans="1:10" s="1" customFormat="1" x14ac:dyDescent="0.25"/>
    <row r="11" spans="1:10" s="1" customFormat="1" x14ac:dyDescent="0.25">
      <c r="A11" s="8" t="s">
        <v>10</v>
      </c>
      <c r="B11" s="8"/>
      <c r="C11" s="161"/>
      <c r="D11" s="161"/>
      <c r="E11" s="161"/>
      <c r="F11" s="161"/>
      <c r="G11" s="161"/>
      <c r="H11" s="161"/>
      <c r="I11" s="161"/>
    </row>
    <row r="12" spans="1:10" x14ac:dyDescent="0.2">
      <c r="A12" s="68"/>
      <c r="B12" s="68"/>
      <c r="C12" s="68"/>
      <c r="D12" s="68"/>
      <c r="E12" s="68"/>
      <c r="F12" s="162" t="s">
        <v>315</v>
      </c>
      <c r="G12" s="162"/>
      <c r="H12" s="163" t="s">
        <v>316</v>
      </c>
      <c r="I12" s="163"/>
      <c r="J12" s="68"/>
    </row>
    <row r="13" spans="1:10" x14ac:dyDescent="0.2">
      <c r="A13" s="164" t="s">
        <v>317</v>
      </c>
      <c r="B13" s="164"/>
      <c r="C13" s="164"/>
      <c r="D13" s="69"/>
      <c r="E13" s="124"/>
      <c r="F13" s="71" t="s">
        <v>1007</v>
      </c>
      <c r="G13" s="71" t="s">
        <v>318</v>
      </c>
      <c r="H13" s="71" t="s">
        <v>319</v>
      </c>
      <c r="I13" s="71" t="s">
        <v>318</v>
      </c>
    </row>
    <row r="14" spans="1:10" x14ac:dyDescent="0.2">
      <c r="A14" s="68"/>
      <c r="B14" s="68"/>
      <c r="C14" s="68"/>
      <c r="D14" s="68"/>
      <c r="E14" s="68"/>
      <c r="F14" s="68"/>
      <c r="G14" s="68"/>
      <c r="H14" s="68"/>
      <c r="I14" s="68"/>
      <c r="J14" s="68"/>
    </row>
    <row r="15" spans="1:10" s="1" customFormat="1" x14ac:dyDescent="0.25">
      <c r="A15" s="165" t="s">
        <v>320</v>
      </c>
      <c r="B15" s="165"/>
      <c r="C15" s="165"/>
      <c r="D15" s="165"/>
      <c r="E15" s="165"/>
      <c r="F15" s="165"/>
      <c r="G15" s="165"/>
      <c r="H15" s="165"/>
      <c r="I15" s="72" t="s">
        <v>321</v>
      </c>
    </row>
    <row r="16" spans="1:10" s="9" customFormat="1" x14ac:dyDescent="0.25">
      <c r="A16" s="166" t="s">
        <v>11</v>
      </c>
      <c r="B16" s="166" t="s">
        <v>12</v>
      </c>
      <c r="C16" s="166" t="s">
        <v>13</v>
      </c>
      <c r="D16" s="166" t="s">
        <v>14</v>
      </c>
      <c r="E16" s="166" t="s">
        <v>15</v>
      </c>
      <c r="F16" s="169" t="s">
        <v>317</v>
      </c>
      <c r="G16" s="170"/>
      <c r="H16" s="170"/>
      <c r="I16" s="171"/>
    </row>
    <row r="17" spans="1:10" s="9" customFormat="1" ht="12.75" customHeight="1" x14ac:dyDescent="0.25">
      <c r="A17" s="167"/>
      <c r="B17" s="167"/>
      <c r="C17" s="167"/>
      <c r="D17" s="167"/>
      <c r="E17" s="167"/>
      <c r="F17" s="172" t="s">
        <v>322</v>
      </c>
      <c r="G17" s="173"/>
      <c r="H17" s="172" t="s">
        <v>323</v>
      </c>
      <c r="I17" s="173"/>
    </row>
    <row r="18" spans="1:10" s="9" customFormat="1" x14ac:dyDescent="0.25">
      <c r="A18" s="168"/>
      <c r="B18" s="168"/>
      <c r="C18" s="168"/>
      <c r="D18" s="168"/>
      <c r="E18" s="168"/>
      <c r="F18" s="73" t="s">
        <v>324</v>
      </c>
      <c r="G18" s="73" t="s">
        <v>325</v>
      </c>
      <c r="H18" s="73" t="s">
        <v>324</v>
      </c>
      <c r="I18" s="73" t="s">
        <v>325</v>
      </c>
    </row>
    <row r="19" spans="1:10" s="13" customFormat="1" x14ac:dyDescent="0.2">
      <c r="A19" s="74">
        <v>1</v>
      </c>
      <c r="B19" s="75">
        <v>2</v>
      </c>
      <c r="C19" s="75">
        <v>3</v>
      </c>
      <c r="D19" s="75">
        <v>4</v>
      </c>
      <c r="E19" s="75">
        <v>5</v>
      </c>
      <c r="F19" s="76">
        <v>6</v>
      </c>
      <c r="G19" s="76">
        <v>7</v>
      </c>
      <c r="H19" s="76">
        <v>8</v>
      </c>
      <c r="I19" s="76">
        <v>9</v>
      </c>
    </row>
    <row r="20" spans="1:10" ht="13.5" thickBot="1" x14ac:dyDescent="0.25">
      <c r="A20" s="176"/>
      <c r="B20" s="177"/>
      <c r="C20" s="177"/>
      <c r="D20" s="177"/>
      <c r="E20" s="177"/>
      <c r="F20" s="177"/>
      <c r="G20" s="177"/>
      <c r="H20" s="177"/>
      <c r="I20" s="178"/>
    </row>
    <row r="21" spans="1:10" s="1" customFormat="1" ht="13.5" thickTop="1" x14ac:dyDescent="0.25">
      <c r="A21" s="179" t="s">
        <v>326</v>
      </c>
      <c r="B21" s="180"/>
      <c r="C21" s="180"/>
      <c r="D21" s="180"/>
      <c r="E21" s="180"/>
      <c r="F21" s="180"/>
      <c r="G21" s="180"/>
      <c r="H21" s="180"/>
      <c r="I21" s="181"/>
      <c r="J21" s="21"/>
    </row>
    <row r="22" spans="1:10" s="1" customFormat="1" x14ac:dyDescent="0.25">
      <c r="A22" s="77"/>
      <c r="B22" s="78"/>
      <c r="C22" s="79" t="s">
        <v>291</v>
      </c>
      <c r="D22" s="80"/>
      <c r="E22" s="81"/>
      <c r="F22" s="81"/>
      <c r="G22" s="82"/>
      <c r="H22" s="81"/>
      <c r="I22" s="83"/>
    </row>
    <row r="23" spans="1:10" s="1" customFormat="1" x14ac:dyDescent="0.25">
      <c r="A23" s="84" t="s">
        <v>19</v>
      </c>
      <c r="B23" s="85" t="s">
        <v>19</v>
      </c>
      <c r="C23" s="85" t="s">
        <v>37</v>
      </c>
      <c r="D23" s="86" t="s">
        <v>26</v>
      </c>
      <c r="E23" s="87">
        <v>58395.114300000001</v>
      </c>
      <c r="F23" s="88">
        <v>29818.17</v>
      </c>
      <c r="G23" s="89">
        <f>E23*F23</f>
        <v>1741235445.3668308</v>
      </c>
      <c r="H23" s="90" t="s">
        <v>319</v>
      </c>
      <c r="I23" s="91" t="s">
        <v>319</v>
      </c>
    </row>
    <row r="24" spans="1:10" s="1" customFormat="1" x14ac:dyDescent="0.25">
      <c r="A24" s="84" t="s">
        <v>31</v>
      </c>
      <c r="B24" s="85" t="s">
        <v>24</v>
      </c>
      <c r="C24" s="85" t="s">
        <v>25</v>
      </c>
      <c r="D24" s="86" t="s">
        <v>26</v>
      </c>
      <c r="E24" s="87">
        <v>6989.9955</v>
      </c>
      <c r="F24" s="90" t="s">
        <v>319</v>
      </c>
      <c r="G24" s="91" t="s">
        <v>319</v>
      </c>
      <c r="H24" s="90" t="s">
        <v>319</v>
      </c>
      <c r="I24" s="91" t="s">
        <v>319</v>
      </c>
    </row>
    <row r="25" spans="1:10" s="1" customFormat="1" x14ac:dyDescent="0.25">
      <c r="A25" s="92"/>
      <c r="B25" s="174" t="s">
        <v>327</v>
      </c>
      <c r="C25" s="175"/>
      <c r="D25" s="93" t="s">
        <v>321</v>
      </c>
      <c r="E25" s="94"/>
      <c r="F25" s="94"/>
      <c r="G25" s="95">
        <f>G23</f>
        <v>1741235445.3668308</v>
      </c>
      <c r="H25" s="94"/>
      <c r="I25" s="94" t="s">
        <v>319</v>
      </c>
    </row>
    <row r="26" spans="1:10" s="1" customFormat="1" x14ac:dyDescent="0.25">
      <c r="A26" s="155"/>
      <c r="B26" s="156"/>
      <c r="C26" s="156"/>
      <c r="D26" s="156"/>
      <c r="E26" s="156"/>
      <c r="F26" s="156"/>
      <c r="G26" s="156"/>
      <c r="H26" s="156"/>
      <c r="I26" s="157"/>
    </row>
    <row r="27" spans="1:10" s="1" customFormat="1" x14ac:dyDescent="0.25">
      <c r="A27" s="77"/>
      <c r="B27" s="78"/>
      <c r="C27" s="79" t="s">
        <v>292</v>
      </c>
      <c r="D27" s="80"/>
      <c r="E27" s="81"/>
      <c r="F27" s="81"/>
      <c r="G27" s="82"/>
      <c r="H27" s="81"/>
      <c r="I27" s="83"/>
    </row>
    <row r="28" spans="1:10" s="1" customFormat="1" x14ac:dyDescent="0.25">
      <c r="A28" s="84" t="s">
        <v>24</v>
      </c>
      <c r="B28" s="85" t="s">
        <v>71</v>
      </c>
      <c r="C28" s="85" t="s">
        <v>72</v>
      </c>
      <c r="D28" s="86" t="s">
        <v>30</v>
      </c>
      <c r="E28" s="87">
        <v>112.3703</v>
      </c>
      <c r="F28" s="96">
        <v>319423</v>
      </c>
      <c r="G28" s="89">
        <f>E28*F28</f>
        <v>35893658.336900003</v>
      </c>
      <c r="H28" s="90" t="s">
        <v>319</v>
      </c>
      <c r="I28" s="91" t="s">
        <v>319</v>
      </c>
    </row>
    <row r="29" spans="1:10" s="1" customFormat="1" ht="24" x14ac:dyDescent="0.25">
      <c r="A29" s="84" t="s">
        <v>42</v>
      </c>
      <c r="B29" s="85" t="s">
        <v>104</v>
      </c>
      <c r="C29" s="85" t="s">
        <v>105</v>
      </c>
      <c r="D29" s="86" t="s">
        <v>30</v>
      </c>
      <c r="E29" s="87">
        <v>11.2539</v>
      </c>
      <c r="F29" s="96">
        <v>203442</v>
      </c>
      <c r="G29" s="89">
        <f t="shared" ref="G29:G48" si="0">E29*F29</f>
        <v>2289515.9238</v>
      </c>
      <c r="H29" s="90" t="s">
        <v>319</v>
      </c>
      <c r="I29" s="91" t="s">
        <v>319</v>
      </c>
    </row>
    <row r="30" spans="1:10" s="1" customFormat="1" ht="24" x14ac:dyDescent="0.25">
      <c r="A30" s="84" t="s">
        <v>50</v>
      </c>
      <c r="B30" s="85" t="s">
        <v>48</v>
      </c>
      <c r="C30" s="85" t="s">
        <v>49</v>
      </c>
      <c r="D30" s="86" t="s">
        <v>30</v>
      </c>
      <c r="E30" s="87">
        <v>29.995699999999999</v>
      </c>
      <c r="F30" s="96">
        <v>275240</v>
      </c>
      <c r="G30" s="89">
        <f t="shared" si="0"/>
        <v>8256016.4679999994</v>
      </c>
      <c r="H30" s="90" t="s">
        <v>319</v>
      </c>
      <c r="I30" s="91" t="s">
        <v>319</v>
      </c>
    </row>
    <row r="31" spans="1:10" s="1" customFormat="1" ht="36" x14ac:dyDescent="0.25">
      <c r="A31" s="84" t="s">
        <v>58</v>
      </c>
      <c r="B31" s="85" t="s">
        <v>231</v>
      </c>
      <c r="C31" s="85" t="s">
        <v>232</v>
      </c>
      <c r="D31" s="86" t="s">
        <v>30</v>
      </c>
      <c r="E31" s="87">
        <v>10.8003</v>
      </c>
      <c r="F31" s="96">
        <v>203442</v>
      </c>
      <c r="G31" s="89">
        <f t="shared" si="0"/>
        <v>2197234.6326000001</v>
      </c>
      <c r="H31" s="90" t="s">
        <v>319</v>
      </c>
      <c r="I31" s="91" t="s">
        <v>319</v>
      </c>
    </row>
    <row r="32" spans="1:10" s="1" customFormat="1" ht="36" x14ac:dyDescent="0.25">
      <c r="A32" s="84" t="s">
        <v>66</v>
      </c>
      <c r="B32" s="85" t="s">
        <v>82</v>
      </c>
      <c r="C32" s="85" t="s">
        <v>83</v>
      </c>
      <c r="D32" s="86" t="s">
        <v>30</v>
      </c>
      <c r="E32" s="87">
        <v>227.10419999999999</v>
      </c>
      <c r="F32" s="96">
        <v>275240</v>
      </c>
      <c r="G32" s="89">
        <f t="shared" si="0"/>
        <v>62508160.008000001</v>
      </c>
      <c r="H32" s="90" t="s">
        <v>319</v>
      </c>
      <c r="I32" s="91" t="s">
        <v>319</v>
      </c>
    </row>
    <row r="33" spans="1:9" s="1" customFormat="1" x14ac:dyDescent="0.25">
      <c r="A33" s="84" t="s">
        <v>77</v>
      </c>
      <c r="B33" s="85" t="s">
        <v>140</v>
      </c>
      <c r="C33" s="85" t="s">
        <v>141</v>
      </c>
      <c r="D33" s="86" t="s">
        <v>30</v>
      </c>
      <c r="E33" s="87">
        <v>6778.3167999999996</v>
      </c>
      <c r="F33" s="96">
        <v>1014</v>
      </c>
      <c r="G33" s="89">
        <f t="shared" si="0"/>
        <v>6873213.2352</v>
      </c>
      <c r="H33" s="90" t="s">
        <v>319</v>
      </c>
      <c r="I33" s="91" t="s">
        <v>319</v>
      </c>
    </row>
    <row r="34" spans="1:9" s="1" customFormat="1" ht="36" x14ac:dyDescent="0.25">
      <c r="A34" s="84" t="s">
        <v>84</v>
      </c>
      <c r="B34" s="85" t="s">
        <v>93</v>
      </c>
      <c r="C34" s="85" t="s">
        <v>94</v>
      </c>
      <c r="D34" s="86" t="s">
        <v>30</v>
      </c>
      <c r="E34" s="87">
        <v>548.81119999999999</v>
      </c>
      <c r="F34" s="96">
        <v>153724</v>
      </c>
      <c r="G34" s="89">
        <f t="shared" si="0"/>
        <v>84365452.908799991</v>
      </c>
      <c r="H34" s="90" t="s">
        <v>319</v>
      </c>
      <c r="I34" s="91" t="s">
        <v>319</v>
      </c>
    </row>
    <row r="35" spans="1:9" s="1" customFormat="1" ht="24" x14ac:dyDescent="0.25">
      <c r="A35" s="84" t="s">
        <v>87</v>
      </c>
      <c r="B35" s="85" t="s">
        <v>233</v>
      </c>
      <c r="C35" s="85" t="s">
        <v>234</v>
      </c>
      <c r="D35" s="86" t="s">
        <v>30</v>
      </c>
      <c r="E35" s="87">
        <v>1.8765000000000001</v>
      </c>
      <c r="F35" s="96">
        <v>244250</v>
      </c>
      <c r="G35" s="89">
        <f t="shared" si="0"/>
        <v>458335.125</v>
      </c>
      <c r="H35" s="90" t="s">
        <v>319</v>
      </c>
      <c r="I35" s="91" t="s">
        <v>319</v>
      </c>
    </row>
    <row r="36" spans="1:9" s="1" customFormat="1" ht="24" x14ac:dyDescent="0.25">
      <c r="A36" s="84" t="s">
        <v>98</v>
      </c>
      <c r="B36" s="85" t="s">
        <v>143</v>
      </c>
      <c r="C36" s="85" t="s">
        <v>144</v>
      </c>
      <c r="D36" s="86" t="s">
        <v>30</v>
      </c>
      <c r="E36" s="87">
        <v>226.9761</v>
      </c>
      <c r="F36" s="96">
        <v>244250</v>
      </c>
      <c r="G36" s="89">
        <f t="shared" si="0"/>
        <v>55438912.424999997</v>
      </c>
      <c r="H36" s="90" t="s">
        <v>319</v>
      </c>
      <c r="I36" s="91" t="s">
        <v>319</v>
      </c>
    </row>
    <row r="37" spans="1:9" s="1" customFormat="1" ht="24" x14ac:dyDescent="0.25">
      <c r="A37" s="84" t="s">
        <v>106</v>
      </c>
      <c r="B37" s="85" t="s">
        <v>146</v>
      </c>
      <c r="C37" s="85" t="s">
        <v>147</v>
      </c>
      <c r="D37" s="86" t="s">
        <v>30</v>
      </c>
      <c r="E37" s="87">
        <v>582.51160000000004</v>
      </c>
      <c r="F37" s="96">
        <v>241677</v>
      </c>
      <c r="G37" s="89">
        <f t="shared" si="0"/>
        <v>140779655.95320001</v>
      </c>
      <c r="H37" s="90" t="s">
        <v>319</v>
      </c>
      <c r="I37" s="91" t="s">
        <v>319</v>
      </c>
    </row>
    <row r="38" spans="1:9" s="1" customFormat="1" x14ac:dyDescent="0.25">
      <c r="A38" s="84" t="s">
        <v>114</v>
      </c>
      <c r="B38" s="85" t="s">
        <v>40</v>
      </c>
      <c r="C38" s="85" t="s">
        <v>41</v>
      </c>
      <c r="D38" s="86" t="s">
        <v>30</v>
      </c>
      <c r="E38" s="87">
        <v>21.945</v>
      </c>
      <c r="F38" s="96">
        <v>32175</v>
      </c>
      <c r="G38" s="89">
        <f t="shared" si="0"/>
        <v>706080.375</v>
      </c>
      <c r="H38" s="90" t="s">
        <v>319</v>
      </c>
      <c r="I38" s="91" t="s">
        <v>319</v>
      </c>
    </row>
    <row r="39" spans="1:9" s="1" customFormat="1" x14ac:dyDescent="0.25">
      <c r="A39" s="84" t="s">
        <v>119</v>
      </c>
      <c r="B39" s="85" t="s">
        <v>96</v>
      </c>
      <c r="C39" s="85" t="s">
        <v>97</v>
      </c>
      <c r="D39" s="86" t="s">
        <v>30</v>
      </c>
      <c r="E39" s="87">
        <v>2198.8553999999999</v>
      </c>
      <c r="F39" s="96">
        <v>1321</v>
      </c>
      <c r="G39" s="89">
        <f t="shared" si="0"/>
        <v>2904687.9833999998</v>
      </c>
      <c r="H39" s="90" t="s">
        <v>319</v>
      </c>
      <c r="I39" s="91" t="s">
        <v>319</v>
      </c>
    </row>
    <row r="40" spans="1:9" s="1" customFormat="1" ht="36" x14ac:dyDescent="0.25">
      <c r="A40" s="84" t="s">
        <v>123</v>
      </c>
      <c r="B40" s="85" t="s">
        <v>112</v>
      </c>
      <c r="C40" s="85" t="s">
        <v>113</v>
      </c>
      <c r="D40" s="86" t="s">
        <v>30</v>
      </c>
      <c r="E40" s="87">
        <v>904.20060000000001</v>
      </c>
      <c r="F40" s="96">
        <v>247451</v>
      </c>
      <c r="G40" s="89">
        <f t="shared" si="0"/>
        <v>223745342.6706</v>
      </c>
      <c r="H40" s="90" t="s">
        <v>319</v>
      </c>
      <c r="I40" s="91" t="s">
        <v>319</v>
      </c>
    </row>
    <row r="41" spans="1:9" s="1" customFormat="1" x14ac:dyDescent="0.25">
      <c r="A41" s="84" t="s">
        <v>128</v>
      </c>
      <c r="B41" s="85" t="s">
        <v>149</v>
      </c>
      <c r="C41" s="85" t="s">
        <v>150</v>
      </c>
      <c r="D41" s="86" t="s">
        <v>30</v>
      </c>
      <c r="E41" s="87">
        <v>1694.5791999999999</v>
      </c>
      <c r="F41" s="96">
        <v>57304</v>
      </c>
      <c r="G41" s="89">
        <f t="shared" si="0"/>
        <v>97106166.476799995</v>
      </c>
      <c r="H41" s="90" t="s">
        <v>319</v>
      </c>
      <c r="I41" s="91" t="s">
        <v>319</v>
      </c>
    </row>
    <row r="42" spans="1:9" s="1" customFormat="1" ht="48" x14ac:dyDescent="0.25">
      <c r="A42" s="84" t="s">
        <v>134</v>
      </c>
      <c r="B42" s="85" t="s">
        <v>273</v>
      </c>
      <c r="C42" s="85" t="s">
        <v>274</v>
      </c>
      <c r="D42" s="86" t="s">
        <v>275</v>
      </c>
      <c r="E42" s="87">
        <v>1253.704</v>
      </c>
      <c r="F42" s="96">
        <v>336304</v>
      </c>
      <c r="G42" s="89">
        <f t="shared" si="0"/>
        <v>421625670.01599997</v>
      </c>
      <c r="H42" s="90" t="s">
        <v>319</v>
      </c>
      <c r="I42" s="91" t="s">
        <v>319</v>
      </c>
    </row>
    <row r="43" spans="1:9" s="1" customFormat="1" x14ac:dyDescent="0.25">
      <c r="A43" s="84" t="s">
        <v>170</v>
      </c>
      <c r="B43" s="85" t="s">
        <v>152</v>
      </c>
      <c r="C43" s="85" t="s">
        <v>153</v>
      </c>
      <c r="D43" s="86" t="s">
        <v>30</v>
      </c>
      <c r="E43" s="87">
        <v>181.477</v>
      </c>
      <c r="F43" s="96">
        <v>107615</v>
      </c>
      <c r="G43" s="89">
        <f t="shared" si="0"/>
        <v>19529647.355</v>
      </c>
      <c r="H43" s="90" t="s">
        <v>319</v>
      </c>
      <c r="I43" s="91" t="s">
        <v>319</v>
      </c>
    </row>
    <row r="44" spans="1:9" s="1" customFormat="1" x14ac:dyDescent="0.25">
      <c r="A44" s="84" t="s">
        <v>177</v>
      </c>
      <c r="B44" s="85" t="s">
        <v>243</v>
      </c>
      <c r="C44" s="85" t="s">
        <v>244</v>
      </c>
      <c r="D44" s="86" t="s">
        <v>30</v>
      </c>
      <c r="E44" s="87">
        <v>0.17724000000000001</v>
      </c>
      <c r="F44" s="96">
        <v>1502</v>
      </c>
      <c r="G44" s="89">
        <f t="shared" si="0"/>
        <v>266.21448000000004</v>
      </c>
      <c r="H44" s="90" t="s">
        <v>319</v>
      </c>
      <c r="I44" s="91" t="s">
        <v>319</v>
      </c>
    </row>
    <row r="45" spans="1:9" s="1" customFormat="1" ht="24" x14ac:dyDescent="0.25">
      <c r="A45" s="84" t="s">
        <v>180</v>
      </c>
      <c r="B45" s="85" t="s">
        <v>255</v>
      </c>
      <c r="C45" s="85" t="s">
        <v>256</v>
      </c>
      <c r="D45" s="86" t="s">
        <v>30</v>
      </c>
      <c r="E45" s="87">
        <v>118.14</v>
      </c>
      <c r="F45" s="96">
        <v>675</v>
      </c>
      <c r="G45" s="89">
        <f t="shared" si="0"/>
        <v>79744.5</v>
      </c>
      <c r="H45" s="90" t="s">
        <v>319</v>
      </c>
      <c r="I45" s="91" t="s">
        <v>319</v>
      </c>
    </row>
    <row r="46" spans="1:9" s="1" customFormat="1" ht="24" x14ac:dyDescent="0.25">
      <c r="A46" s="84" t="s">
        <v>183</v>
      </c>
      <c r="B46" s="85" t="s">
        <v>28</v>
      </c>
      <c r="C46" s="85" t="s">
        <v>29</v>
      </c>
      <c r="D46" s="86" t="s">
        <v>30</v>
      </c>
      <c r="E46" s="87">
        <v>269.32549999999998</v>
      </c>
      <c r="F46" s="96">
        <v>276269</v>
      </c>
      <c r="G46" s="89">
        <f t="shared" si="0"/>
        <v>74406286.559499994</v>
      </c>
      <c r="H46" s="90" t="s">
        <v>319</v>
      </c>
      <c r="I46" s="91" t="s">
        <v>319</v>
      </c>
    </row>
    <row r="47" spans="1:9" s="1" customFormat="1" ht="24" x14ac:dyDescent="0.25">
      <c r="A47" s="84" t="s">
        <v>211</v>
      </c>
      <c r="B47" s="85" t="s">
        <v>56</v>
      </c>
      <c r="C47" s="85" t="s">
        <v>57</v>
      </c>
      <c r="D47" s="86" t="s">
        <v>30</v>
      </c>
      <c r="E47" s="87">
        <v>77.616</v>
      </c>
      <c r="F47" s="96">
        <v>299995</v>
      </c>
      <c r="G47" s="89">
        <f t="shared" si="0"/>
        <v>23284411.919999998</v>
      </c>
      <c r="H47" s="90" t="s">
        <v>319</v>
      </c>
      <c r="I47" s="91" t="s">
        <v>319</v>
      </c>
    </row>
    <row r="48" spans="1:9" s="1" customFormat="1" ht="24" x14ac:dyDescent="0.25">
      <c r="A48" s="84" t="s">
        <v>222</v>
      </c>
      <c r="B48" s="85" t="s">
        <v>64</v>
      </c>
      <c r="C48" s="85" t="s">
        <v>65</v>
      </c>
      <c r="D48" s="86" t="s">
        <v>30</v>
      </c>
      <c r="E48" s="87">
        <v>835.44860000000006</v>
      </c>
      <c r="F48" s="96">
        <v>231705</v>
      </c>
      <c r="G48" s="89">
        <f t="shared" si="0"/>
        <v>193577617.86300001</v>
      </c>
      <c r="H48" s="90" t="s">
        <v>319</v>
      </c>
      <c r="I48" s="91" t="s">
        <v>319</v>
      </c>
    </row>
    <row r="49" spans="1:9" s="1" customFormat="1" x14ac:dyDescent="0.25">
      <c r="A49" s="92"/>
      <c r="B49" s="174" t="s">
        <v>328</v>
      </c>
      <c r="C49" s="175"/>
      <c r="D49" s="93" t="s">
        <v>321</v>
      </c>
      <c r="E49" s="94"/>
      <c r="F49" s="94"/>
      <c r="G49" s="95">
        <f>SUM(G28:G48)</f>
        <v>1456026076.95028</v>
      </c>
      <c r="H49" s="94"/>
      <c r="I49" s="94" t="s">
        <v>319</v>
      </c>
    </row>
    <row r="50" spans="1:9" s="1" customFormat="1" x14ac:dyDescent="0.25">
      <c r="A50" s="92"/>
      <c r="B50" s="174" t="s">
        <v>329</v>
      </c>
      <c r="C50" s="175"/>
      <c r="D50" s="93" t="s">
        <v>321</v>
      </c>
      <c r="E50" s="94"/>
      <c r="F50" s="94"/>
      <c r="G50" s="95" t="s">
        <v>319</v>
      </c>
      <c r="H50" s="94"/>
      <c r="I50" s="94" t="s">
        <v>319</v>
      </c>
    </row>
    <row r="51" spans="1:9" s="1" customFormat="1" x14ac:dyDescent="0.25">
      <c r="A51" s="155"/>
      <c r="B51" s="156"/>
      <c r="C51" s="156"/>
      <c r="D51" s="156"/>
      <c r="E51" s="156"/>
      <c r="F51" s="156"/>
      <c r="G51" s="156"/>
      <c r="H51" s="156"/>
      <c r="I51" s="157"/>
    </row>
    <row r="52" spans="1:9" s="1" customFormat="1" x14ac:dyDescent="0.25">
      <c r="A52" s="77"/>
      <c r="B52" s="78"/>
      <c r="C52" s="79" t="s">
        <v>293</v>
      </c>
      <c r="D52" s="80"/>
      <c r="E52" s="81"/>
      <c r="F52" s="81"/>
      <c r="G52" s="82"/>
      <c r="H52" s="81"/>
      <c r="I52" s="83"/>
    </row>
    <row r="53" spans="1:9" s="1" customFormat="1" x14ac:dyDescent="0.25">
      <c r="A53" s="84" t="s">
        <v>223</v>
      </c>
      <c r="B53" s="85" t="s">
        <v>155</v>
      </c>
      <c r="C53" s="85" t="s">
        <v>156</v>
      </c>
      <c r="D53" s="86" t="s">
        <v>76</v>
      </c>
      <c r="E53" s="87">
        <v>13503.678</v>
      </c>
      <c r="F53" s="126">
        <v>485994</v>
      </c>
      <c r="G53" s="89">
        <f t="shared" ref="G53:G67" si="1">E53*F53</f>
        <v>6562706485.9320002</v>
      </c>
      <c r="H53" s="90" t="s">
        <v>319</v>
      </c>
      <c r="I53" s="91" t="s">
        <v>319</v>
      </c>
    </row>
    <row r="54" spans="1:9" s="1" customFormat="1" x14ac:dyDescent="0.25">
      <c r="A54" s="84" t="s">
        <v>226</v>
      </c>
      <c r="B54" s="85" t="s">
        <v>158</v>
      </c>
      <c r="C54" s="85" t="s">
        <v>159</v>
      </c>
      <c r="D54" s="86" t="s">
        <v>76</v>
      </c>
      <c r="E54" s="87">
        <v>13768.456</v>
      </c>
      <c r="F54" s="96">
        <v>1000</v>
      </c>
      <c r="G54" s="89">
        <f t="shared" si="1"/>
        <v>13768456</v>
      </c>
      <c r="H54" s="90" t="s">
        <v>319</v>
      </c>
      <c r="I54" s="91" t="s">
        <v>319</v>
      </c>
    </row>
    <row r="55" spans="1:9" s="1" customFormat="1" x14ac:dyDescent="0.25">
      <c r="A55" s="84" t="s">
        <v>238</v>
      </c>
      <c r="B55" s="85" t="s">
        <v>235</v>
      </c>
      <c r="C55" s="85" t="s">
        <v>159</v>
      </c>
      <c r="D55" s="86" t="s">
        <v>76</v>
      </c>
      <c r="E55" s="87">
        <v>54.21</v>
      </c>
      <c r="F55" s="96">
        <v>1000</v>
      </c>
      <c r="G55" s="89">
        <f t="shared" si="1"/>
        <v>54210</v>
      </c>
      <c r="H55" s="90" t="s">
        <v>319</v>
      </c>
      <c r="I55" s="91" t="s">
        <v>319</v>
      </c>
    </row>
    <row r="56" spans="1:9" s="1" customFormat="1" x14ac:dyDescent="0.25">
      <c r="A56" s="84" t="s">
        <v>247</v>
      </c>
      <c r="B56" s="85" t="s">
        <v>161</v>
      </c>
      <c r="C56" s="85" t="s">
        <v>162</v>
      </c>
      <c r="D56" s="86" t="s">
        <v>61</v>
      </c>
      <c r="E56" s="87">
        <v>0.46461249999999998</v>
      </c>
      <c r="F56" s="96">
        <v>9652145</v>
      </c>
      <c r="G56" s="89">
        <f t="shared" si="1"/>
        <v>4484507.2188125001</v>
      </c>
      <c r="H56" s="90" t="s">
        <v>319</v>
      </c>
      <c r="I56" s="91" t="s">
        <v>319</v>
      </c>
    </row>
    <row r="57" spans="1:9" s="1" customFormat="1" ht="24" x14ac:dyDescent="0.25">
      <c r="A57" s="84" t="s">
        <v>249</v>
      </c>
      <c r="B57" s="85" t="s">
        <v>164</v>
      </c>
      <c r="C57" s="85" t="s">
        <v>165</v>
      </c>
      <c r="D57" s="86" t="s">
        <v>166</v>
      </c>
      <c r="E57" s="87">
        <v>19858.349999999999</v>
      </c>
      <c r="F57" s="118">
        <v>5755</v>
      </c>
      <c r="G57" s="89">
        <f t="shared" si="1"/>
        <v>114284804.24999999</v>
      </c>
      <c r="H57" s="90" t="s">
        <v>319</v>
      </c>
      <c r="I57" s="91" t="s">
        <v>319</v>
      </c>
    </row>
    <row r="58" spans="1:9" s="1" customFormat="1" ht="24" x14ac:dyDescent="0.25">
      <c r="A58" s="84" t="s">
        <v>257</v>
      </c>
      <c r="B58" s="85" t="s">
        <v>168</v>
      </c>
      <c r="C58" s="85" t="s">
        <v>169</v>
      </c>
      <c r="D58" s="86" t="s">
        <v>76</v>
      </c>
      <c r="E58" s="87">
        <v>67.676900000000003</v>
      </c>
      <c r="F58" s="118">
        <v>3660714</v>
      </c>
      <c r="G58" s="89">
        <f t="shared" si="1"/>
        <v>247745775.3066</v>
      </c>
      <c r="H58" s="90" t="s">
        <v>319</v>
      </c>
      <c r="I58" s="91" t="s">
        <v>319</v>
      </c>
    </row>
    <row r="59" spans="1:9" s="1" customFormat="1" x14ac:dyDescent="0.25">
      <c r="A59" s="84" t="s">
        <v>259</v>
      </c>
      <c r="B59" s="85" t="s">
        <v>74</v>
      </c>
      <c r="C59" s="85" t="s">
        <v>75</v>
      </c>
      <c r="D59" s="86" t="s">
        <v>76</v>
      </c>
      <c r="E59" s="87">
        <v>451.3836</v>
      </c>
      <c r="F59" s="96">
        <v>75000</v>
      </c>
      <c r="G59" s="89">
        <f t="shared" si="1"/>
        <v>33853770</v>
      </c>
      <c r="H59" s="90" t="s">
        <v>319</v>
      </c>
      <c r="I59" s="91" t="s">
        <v>319</v>
      </c>
    </row>
    <row r="60" spans="1:9" s="1" customFormat="1" x14ac:dyDescent="0.25">
      <c r="A60" s="84" t="s">
        <v>263</v>
      </c>
      <c r="B60" s="85" t="s">
        <v>236</v>
      </c>
      <c r="C60" s="85" t="s">
        <v>237</v>
      </c>
      <c r="D60" s="86" t="s">
        <v>210</v>
      </c>
      <c r="E60" s="87">
        <v>30.607800000000001</v>
      </c>
      <c r="F60" s="118">
        <v>45000</v>
      </c>
      <c r="G60" s="89">
        <f t="shared" si="1"/>
        <v>1377351</v>
      </c>
      <c r="H60" s="90" t="s">
        <v>319</v>
      </c>
      <c r="I60" s="91" t="s">
        <v>319</v>
      </c>
    </row>
    <row r="61" spans="1:9" s="1" customFormat="1" x14ac:dyDescent="0.25">
      <c r="A61" s="84" t="s">
        <v>266</v>
      </c>
      <c r="B61" s="85" t="s">
        <v>245</v>
      </c>
      <c r="C61" s="85" t="s">
        <v>246</v>
      </c>
      <c r="D61" s="86" t="s">
        <v>179</v>
      </c>
      <c r="E61" s="87">
        <v>431.28399999999999</v>
      </c>
      <c r="F61" s="96">
        <v>5375</v>
      </c>
      <c r="G61" s="89">
        <f t="shared" si="1"/>
        <v>2318151.5</v>
      </c>
      <c r="H61" s="90" t="s">
        <v>319</v>
      </c>
      <c r="I61" s="91" t="s">
        <v>319</v>
      </c>
    </row>
    <row r="62" spans="1:9" s="1" customFormat="1" ht="24" x14ac:dyDescent="0.25">
      <c r="A62" s="84" t="s">
        <v>276</v>
      </c>
      <c r="B62" s="85"/>
      <c r="C62" s="85" t="s">
        <v>178</v>
      </c>
      <c r="D62" s="86" t="s">
        <v>179</v>
      </c>
      <c r="E62" s="87">
        <v>598185.69999999995</v>
      </c>
      <c r="F62" s="96">
        <v>3616</v>
      </c>
      <c r="G62" s="89">
        <f t="shared" si="1"/>
        <v>2163039491.1999998</v>
      </c>
      <c r="H62" s="90" t="s">
        <v>319</v>
      </c>
      <c r="I62" s="91" t="s">
        <v>319</v>
      </c>
    </row>
    <row r="63" spans="1:9" s="1" customFormat="1" x14ac:dyDescent="0.25">
      <c r="A63" s="84" t="s">
        <v>280</v>
      </c>
      <c r="B63" s="85"/>
      <c r="C63" s="85" t="s">
        <v>264</v>
      </c>
      <c r="D63" s="86" t="s">
        <v>76</v>
      </c>
      <c r="E63" s="87">
        <v>15.8</v>
      </c>
      <c r="F63" s="96">
        <v>55000</v>
      </c>
      <c r="G63" s="89">
        <f t="shared" si="1"/>
        <v>869000</v>
      </c>
      <c r="H63" s="90" t="s">
        <v>319</v>
      </c>
      <c r="I63" s="91" t="s">
        <v>319</v>
      </c>
    </row>
    <row r="64" spans="1:9" s="1" customFormat="1" x14ac:dyDescent="0.25">
      <c r="A64" s="84" t="s">
        <v>284</v>
      </c>
      <c r="B64" s="85"/>
      <c r="C64" s="85" t="s">
        <v>258</v>
      </c>
      <c r="D64" s="86" t="s">
        <v>179</v>
      </c>
      <c r="E64" s="87">
        <v>590.79999999999995</v>
      </c>
      <c r="F64" s="96">
        <v>9150</v>
      </c>
      <c r="G64" s="89">
        <f t="shared" si="1"/>
        <v>5405820</v>
      </c>
      <c r="H64" s="90" t="s">
        <v>319</v>
      </c>
      <c r="I64" s="91" t="s">
        <v>319</v>
      </c>
    </row>
    <row r="65" spans="1:11" s="1" customFormat="1" x14ac:dyDescent="0.25">
      <c r="A65" s="84" t="s">
        <v>294</v>
      </c>
      <c r="B65" s="85"/>
      <c r="C65" s="85" t="s">
        <v>248</v>
      </c>
      <c r="D65" s="86" t="s">
        <v>210</v>
      </c>
      <c r="E65" s="87">
        <v>608.524</v>
      </c>
      <c r="F65" s="96">
        <v>7589</v>
      </c>
      <c r="G65" s="89">
        <f t="shared" si="1"/>
        <v>4618088.6359999999</v>
      </c>
      <c r="H65" s="90" t="s">
        <v>319</v>
      </c>
      <c r="I65" s="91" t="s">
        <v>319</v>
      </c>
    </row>
    <row r="66" spans="1:11" s="1" customFormat="1" x14ac:dyDescent="0.25">
      <c r="A66" s="84" t="s">
        <v>295</v>
      </c>
      <c r="B66" s="85"/>
      <c r="C66" s="85" t="s">
        <v>224</v>
      </c>
      <c r="D66" s="86" t="s">
        <v>210</v>
      </c>
      <c r="E66" s="87">
        <v>10761.2</v>
      </c>
      <c r="F66" s="96">
        <v>12500</v>
      </c>
      <c r="G66" s="89">
        <f t="shared" si="1"/>
        <v>134515000</v>
      </c>
      <c r="H66" s="90" t="s">
        <v>319</v>
      </c>
      <c r="I66" s="91" t="s">
        <v>319</v>
      </c>
    </row>
    <row r="67" spans="1:11" s="1" customFormat="1" x14ac:dyDescent="0.25">
      <c r="A67" s="84" t="s">
        <v>296</v>
      </c>
      <c r="B67" s="85"/>
      <c r="C67" s="85" t="s">
        <v>181</v>
      </c>
      <c r="D67" s="86" t="s">
        <v>182</v>
      </c>
      <c r="E67" s="87">
        <v>0.30809999999999998</v>
      </c>
      <c r="F67" s="96">
        <v>9087429</v>
      </c>
      <c r="G67" s="89">
        <f t="shared" si="1"/>
        <v>2799836.8748999997</v>
      </c>
      <c r="H67" s="90" t="s">
        <v>319</v>
      </c>
      <c r="I67" s="91" t="s">
        <v>319</v>
      </c>
    </row>
    <row r="68" spans="1:11" s="1" customFormat="1" x14ac:dyDescent="0.25">
      <c r="A68" s="92"/>
      <c r="B68" s="174" t="s">
        <v>330</v>
      </c>
      <c r="C68" s="175"/>
      <c r="D68" s="93" t="s">
        <v>321</v>
      </c>
      <c r="E68" s="94"/>
      <c r="F68" s="94"/>
      <c r="G68" s="95">
        <f>SUM(G53:G67)</f>
        <v>9291840747.918314</v>
      </c>
      <c r="H68" s="94"/>
      <c r="I68" s="94" t="s">
        <v>319</v>
      </c>
      <c r="K68" s="114">
        <f>G68</f>
        <v>9291840747.918314</v>
      </c>
    </row>
    <row r="69" spans="1:11" s="1" customFormat="1" x14ac:dyDescent="0.25">
      <c r="A69" s="155"/>
      <c r="B69" s="156"/>
      <c r="C69" s="156"/>
      <c r="D69" s="156"/>
      <c r="E69" s="156"/>
      <c r="F69" s="156"/>
      <c r="G69" s="156"/>
      <c r="H69" s="156"/>
      <c r="I69" s="157"/>
      <c r="K69" s="114">
        <f>K68-G53-G54-G55-G59-G63</f>
        <v>2680588825.9863138</v>
      </c>
    </row>
    <row r="70" spans="1:11" s="1" customFormat="1" x14ac:dyDescent="0.25">
      <c r="A70" s="92"/>
      <c r="B70" s="174" t="s">
        <v>331</v>
      </c>
      <c r="C70" s="175"/>
      <c r="D70" s="93" t="s">
        <v>321</v>
      </c>
      <c r="E70" s="94"/>
      <c r="F70" s="94"/>
      <c r="G70" s="95">
        <f>G25+G49+G68</f>
        <v>12489102270.235424</v>
      </c>
      <c r="H70" s="94"/>
      <c r="I70" s="94" t="s">
        <v>319</v>
      </c>
      <c r="K70" s="114">
        <f>K69*2%</f>
        <v>53611776.519726276</v>
      </c>
    </row>
    <row r="71" spans="1:11" s="1" customFormat="1" x14ac:dyDescent="0.25">
      <c r="A71" s="55"/>
      <c r="B71" s="182" t="s">
        <v>332</v>
      </c>
      <c r="C71" s="183"/>
      <c r="D71" s="97" t="s">
        <v>321</v>
      </c>
      <c r="E71" s="60"/>
      <c r="F71" s="60"/>
      <c r="G71" s="98" t="s">
        <v>319</v>
      </c>
      <c r="H71" s="60"/>
      <c r="I71" s="60" t="s">
        <v>319</v>
      </c>
    </row>
    <row r="72" spans="1:11" s="1" customFormat="1" x14ac:dyDescent="0.25">
      <c r="A72" s="92"/>
      <c r="B72" s="174" t="s">
        <v>333</v>
      </c>
      <c r="C72" s="175"/>
      <c r="D72" s="93" t="s">
        <v>321</v>
      </c>
      <c r="E72" s="94"/>
      <c r="F72" s="94"/>
      <c r="G72" s="95">
        <f>G70</f>
        <v>12489102270.235424</v>
      </c>
      <c r="H72" s="94"/>
      <c r="I72" s="94" t="s">
        <v>319</v>
      </c>
    </row>
    <row r="73" spans="1:11" s="1" customFormat="1" x14ac:dyDescent="0.25">
      <c r="A73" s="55"/>
      <c r="B73" s="182" t="s">
        <v>334</v>
      </c>
      <c r="C73" s="183"/>
      <c r="D73" s="97" t="s">
        <v>321</v>
      </c>
      <c r="E73" s="60"/>
      <c r="F73" s="60"/>
      <c r="G73" s="98" t="s">
        <v>319</v>
      </c>
      <c r="H73" s="60"/>
      <c r="I73" s="60" t="s">
        <v>319</v>
      </c>
    </row>
    <row r="74" spans="1:11" s="1" customFormat="1" x14ac:dyDescent="0.25">
      <c r="A74" s="92"/>
      <c r="B74" s="174" t="s">
        <v>335</v>
      </c>
      <c r="C74" s="175"/>
      <c r="D74" s="93" t="s">
        <v>321</v>
      </c>
      <c r="E74" s="94"/>
      <c r="F74" s="94"/>
      <c r="G74" s="113">
        <f>G72</f>
        <v>12489102270.235424</v>
      </c>
      <c r="H74" s="94"/>
      <c r="I74" s="94" t="s">
        <v>319</v>
      </c>
    </row>
    <row r="75" spans="1:11" s="1" customFormat="1" x14ac:dyDescent="0.25">
      <c r="A75" s="158"/>
      <c r="B75" s="158"/>
      <c r="C75" s="158"/>
      <c r="D75" s="158"/>
      <c r="E75" s="158"/>
      <c r="F75" s="158"/>
      <c r="G75" s="158"/>
      <c r="H75" s="158"/>
      <c r="I75" s="158"/>
    </row>
    <row r="76" spans="1:11" s="1" customFormat="1" x14ac:dyDescent="0.25">
      <c r="A76" s="66"/>
      <c r="B76" s="143" t="s">
        <v>310</v>
      </c>
      <c r="C76" s="143"/>
      <c r="D76" s="143"/>
      <c r="E76" s="143" t="s">
        <v>311</v>
      </c>
      <c r="F76" s="143"/>
      <c r="G76" s="143"/>
      <c r="H76" s="143"/>
      <c r="I76" s="143"/>
    </row>
  </sheetData>
  <mergeCells count="38">
    <mergeCell ref="B73:C73"/>
    <mergeCell ref="B74:C74"/>
    <mergeCell ref="A75:I75"/>
    <mergeCell ref="B76:D76"/>
    <mergeCell ref="E76:I76"/>
    <mergeCell ref="A51:I51"/>
    <mergeCell ref="B68:C68"/>
    <mergeCell ref="A69:I69"/>
    <mergeCell ref="B70:C70"/>
    <mergeCell ref="B71:C71"/>
    <mergeCell ref="B72:C72"/>
    <mergeCell ref="A20:I20"/>
    <mergeCell ref="A21:I21"/>
    <mergeCell ref="B25:C25"/>
    <mergeCell ref="A26:I26"/>
    <mergeCell ref="B49:C49"/>
    <mergeCell ref="B50:C50"/>
    <mergeCell ref="A15:H15"/>
    <mergeCell ref="A16:A18"/>
    <mergeCell ref="B16:B18"/>
    <mergeCell ref="C16:C18"/>
    <mergeCell ref="D16:D18"/>
    <mergeCell ref="E16:E18"/>
    <mergeCell ref="F16:I16"/>
    <mergeCell ref="F17:G17"/>
    <mergeCell ref="H17:I17"/>
    <mergeCell ref="B8:H8"/>
    <mergeCell ref="B9:H9"/>
    <mergeCell ref="C11:I11"/>
    <mergeCell ref="F12:G12"/>
    <mergeCell ref="H12:I12"/>
    <mergeCell ref="A13:C13"/>
    <mergeCell ref="B2:H2"/>
    <mergeCell ref="B3:H3"/>
    <mergeCell ref="E5:H5"/>
    <mergeCell ref="B6:H6"/>
    <mergeCell ref="F7:G7"/>
    <mergeCell ref="H7:I7"/>
  </mergeCells>
  <printOptions horizontalCentered="1"/>
  <pageMargins left="0.39" right="0.39" top="0.59" bottom="0.59" header="0.39" footer="0.39"/>
  <pageSetup paperSize="9" fitToHeight="10000" orientation="portrait" horizontalDpi="300" verticalDpi="300" r:id="rId1"/>
  <headerFooter>
    <oddHeader>&amp;Л&amp;9ПРОГРАММНЫЙ КОМПЛЕКС АВС-UZ (РЕДАКЦИЯ 2026.4)&amp;Ц&amp;С&amp;П202611400</oddHeader>
    <oddFooter>&amp;ЦСтраниц - &amp;К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4FE39-2165-4620-BC7D-2731857EAD78}">
  <sheetPr>
    <pageSetUpPr fitToPage="1"/>
  </sheetPr>
  <dimension ref="A1:G581"/>
  <sheetViews>
    <sheetView showGridLines="0" topLeftCell="A503" workbookViewId="0">
      <selection activeCell="C533" sqref="C533"/>
    </sheetView>
  </sheetViews>
  <sheetFormatPr defaultRowHeight="12.75" outlineLevelRow="1" x14ac:dyDescent="0.2"/>
  <cols>
    <col min="1" max="1" width="5.42578125" style="14" customWidth="1"/>
    <col min="2" max="2" width="13.5703125" style="14" customWidth="1"/>
    <col min="3" max="3" width="82.85546875" style="14" customWidth="1"/>
    <col min="4" max="6" width="10.140625" style="14" customWidth="1"/>
    <col min="7" max="16384" width="9.140625" style="14"/>
  </cols>
  <sheetData>
    <row r="1" spans="1:6" s="1" customFormat="1" x14ac:dyDescent="0.25">
      <c r="F1" s="2" t="s">
        <v>0</v>
      </c>
    </row>
    <row r="2" spans="1:6" s="1" customFormat="1" x14ac:dyDescent="0.25">
      <c r="B2" s="131" t="s">
        <v>1</v>
      </c>
      <c r="C2" s="131"/>
      <c r="D2" s="131"/>
      <c r="E2" s="131"/>
      <c r="F2" s="131"/>
    </row>
    <row r="3" spans="1:6" s="1" customFormat="1" x14ac:dyDescent="0.25">
      <c r="A3" s="3"/>
      <c r="B3" s="132" t="s">
        <v>2</v>
      </c>
      <c r="C3" s="132"/>
      <c r="D3" s="132"/>
      <c r="E3" s="132"/>
      <c r="F3" s="132"/>
    </row>
    <row r="4" spans="1:6" s="1" customFormat="1" x14ac:dyDescent="0.25">
      <c r="C4" s="4"/>
      <c r="D4" s="4"/>
      <c r="E4" s="4"/>
      <c r="F4" s="4"/>
    </row>
    <row r="5" spans="1:6" s="1" customFormat="1" ht="15.75" x14ac:dyDescent="0.25">
      <c r="A5" s="5"/>
      <c r="B5" s="5"/>
      <c r="C5" s="6" t="s">
        <v>3</v>
      </c>
      <c r="D5" s="133" t="s">
        <v>4</v>
      </c>
      <c r="E5" s="133"/>
      <c r="F5" s="133"/>
    </row>
    <row r="6" spans="1:6" s="1" customFormat="1" x14ac:dyDescent="0.25">
      <c r="A6" s="3"/>
      <c r="B6" s="134" t="s">
        <v>5</v>
      </c>
      <c r="C6" s="134"/>
      <c r="D6" s="134"/>
      <c r="E6" s="134"/>
      <c r="F6" s="134"/>
    </row>
    <row r="7" spans="1:6" s="1" customFormat="1" x14ac:dyDescent="0.25">
      <c r="D7" s="4"/>
      <c r="F7" s="7" t="s">
        <v>6</v>
      </c>
    </row>
    <row r="8" spans="1:6" s="1" customFormat="1" x14ac:dyDescent="0.25">
      <c r="A8" s="7" t="s">
        <v>7</v>
      </c>
      <c r="B8" s="131" t="s">
        <v>336</v>
      </c>
      <c r="C8" s="131"/>
      <c r="D8" s="131"/>
      <c r="E8" s="131"/>
      <c r="F8" s="131"/>
    </row>
    <row r="9" spans="1:6" s="1" customFormat="1" x14ac:dyDescent="0.25">
      <c r="A9" s="3"/>
      <c r="B9" s="132" t="s">
        <v>9</v>
      </c>
      <c r="C9" s="132"/>
      <c r="D9" s="132"/>
      <c r="E9" s="132"/>
      <c r="F9" s="132"/>
    </row>
    <row r="10" spans="1:6" s="1" customFormat="1" x14ac:dyDescent="0.25"/>
    <row r="11" spans="1:6" s="1" customFormat="1" x14ac:dyDescent="0.25">
      <c r="A11" s="8" t="s">
        <v>10</v>
      </c>
      <c r="B11" s="8"/>
      <c r="C11" s="135"/>
      <c r="D11" s="135"/>
      <c r="E11" s="135"/>
      <c r="F11" s="135"/>
    </row>
    <row r="12" spans="1:6" s="9" customFormat="1" ht="12.75" customHeight="1" x14ac:dyDescent="0.25">
      <c r="A12" s="136" t="s">
        <v>11</v>
      </c>
      <c r="B12" s="136" t="s">
        <v>12</v>
      </c>
      <c r="C12" s="136" t="s">
        <v>13</v>
      </c>
      <c r="D12" s="136" t="s">
        <v>14</v>
      </c>
      <c r="E12" s="138" t="s">
        <v>15</v>
      </c>
      <c r="F12" s="139"/>
    </row>
    <row r="13" spans="1:6" s="9" customFormat="1" ht="34.5" customHeight="1" x14ac:dyDescent="0.25">
      <c r="A13" s="137"/>
      <c r="B13" s="137"/>
      <c r="C13" s="137"/>
      <c r="D13" s="137"/>
      <c r="E13" s="10" t="s">
        <v>16</v>
      </c>
      <c r="F13" s="10" t="s">
        <v>17</v>
      </c>
    </row>
    <row r="14" spans="1:6" s="13" customFormat="1" x14ac:dyDescent="0.2">
      <c r="A14" s="11">
        <v>1</v>
      </c>
      <c r="B14" s="12">
        <v>2</v>
      </c>
      <c r="C14" s="12">
        <v>3</v>
      </c>
      <c r="D14" s="12">
        <v>4</v>
      </c>
      <c r="E14" s="12">
        <v>5</v>
      </c>
      <c r="F14" s="12">
        <v>6</v>
      </c>
    </row>
    <row r="15" spans="1:6" x14ac:dyDescent="0.2">
      <c r="A15" s="140"/>
      <c r="B15" s="141"/>
      <c r="C15" s="141"/>
      <c r="D15" s="141"/>
      <c r="E15" s="141"/>
      <c r="F15" s="142"/>
    </row>
    <row r="16" spans="1:6" s="1" customFormat="1" ht="12.75" customHeight="1" x14ac:dyDescent="0.25">
      <c r="A16" s="15"/>
      <c r="B16" s="16"/>
      <c r="C16" s="143" t="s">
        <v>18</v>
      </c>
      <c r="D16" s="143"/>
      <c r="E16" s="16"/>
      <c r="F16" s="17"/>
    </row>
    <row r="17" spans="1:7" s="1" customFormat="1" ht="76.5" x14ac:dyDescent="0.25">
      <c r="A17" s="18" t="s">
        <v>19</v>
      </c>
      <c r="B17" s="19" t="s">
        <v>20</v>
      </c>
      <c r="C17" s="19" t="s">
        <v>21</v>
      </c>
      <c r="D17" s="20" t="s">
        <v>22</v>
      </c>
      <c r="E17" s="144">
        <v>14.3</v>
      </c>
      <c r="F17" s="145"/>
      <c r="G17" s="21"/>
    </row>
    <row r="18" spans="1:7" s="26" customFormat="1" outlineLevel="1" x14ac:dyDescent="0.25">
      <c r="A18" s="22" t="s">
        <v>23</v>
      </c>
      <c r="B18" s="23" t="s">
        <v>24</v>
      </c>
      <c r="C18" s="24" t="s">
        <v>25</v>
      </c>
      <c r="D18" s="23" t="s">
        <v>26</v>
      </c>
      <c r="E18" s="25">
        <v>1.21</v>
      </c>
      <c r="F18" s="25">
        <v>17.303000000000001</v>
      </c>
    </row>
    <row r="19" spans="1:7" s="31" customFormat="1" ht="24" outlineLevel="1" x14ac:dyDescent="0.25">
      <c r="A19" s="27" t="s">
        <v>27</v>
      </c>
      <c r="B19" s="28" t="s">
        <v>28</v>
      </c>
      <c r="C19" s="29" t="s">
        <v>29</v>
      </c>
      <c r="D19" s="28" t="s">
        <v>30</v>
      </c>
      <c r="E19" s="30">
        <v>1.21</v>
      </c>
      <c r="F19" s="30">
        <v>17.303000000000001</v>
      </c>
    </row>
    <row r="20" spans="1:7" s="1" customFormat="1" ht="63.75" x14ac:dyDescent="0.25">
      <c r="A20" s="18" t="s">
        <v>31</v>
      </c>
      <c r="B20" s="19" t="s">
        <v>337</v>
      </c>
      <c r="C20" s="19" t="s">
        <v>338</v>
      </c>
      <c r="D20" s="20" t="s">
        <v>22</v>
      </c>
      <c r="E20" s="144">
        <v>0.2</v>
      </c>
      <c r="F20" s="145"/>
      <c r="G20" s="21"/>
    </row>
    <row r="21" spans="1:7" s="26" customFormat="1" outlineLevel="1" x14ac:dyDescent="0.25">
      <c r="A21" s="22" t="s">
        <v>32</v>
      </c>
      <c r="B21" s="23" t="s">
        <v>19</v>
      </c>
      <c r="C21" s="24" t="s">
        <v>37</v>
      </c>
      <c r="D21" s="23" t="s">
        <v>26</v>
      </c>
      <c r="E21" s="25">
        <v>141.6</v>
      </c>
      <c r="F21" s="25">
        <v>28.32</v>
      </c>
    </row>
    <row r="22" spans="1:7" s="1" customFormat="1" ht="76.5" x14ac:dyDescent="0.25">
      <c r="A22" s="18" t="s">
        <v>24</v>
      </c>
      <c r="B22" s="19" t="s">
        <v>339</v>
      </c>
      <c r="C22" s="19" t="s">
        <v>340</v>
      </c>
      <c r="D22" s="20" t="s">
        <v>45</v>
      </c>
      <c r="E22" s="144">
        <v>1.425</v>
      </c>
      <c r="F22" s="145"/>
      <c r="G22" s="21"/>
    </row>
    <row r="23" spans="1:7" s="26" customFormat="1" outlineLevel="1" x14ac:dyDescent="0.25">
      <c r="A23" s="22" t="s">
        <v>36</v>
      </c>
      <c r="B23" s="23" t="s">
        <v>24</v>
      </c>
      <c r="C23" s="24" t="s">
        <v>25</v>
      </c>
      <c r="D23" s="23" t="s">
        <v>26</v>
      </c>
      <c r="E23" s="25">
        <v>9.9109999999999996</v>
      </c>
      <c r="F23" s="25">
        <v>14.123200000000001</v>
      </c>
    </row>
    <row r="24" spans="1:7" s="31" customFormat="1" ht="24" outlineLevel="1" x14ac:dyDescent="0.25">
      <c r="A24" s="27" t="s">
        <v>38</v>
      </c>
      <c r="B24" s="28" t="s">
        <v>82</v>
      </c>
      <c r="C24" s="29" t="s">
        <v>83</v>
      </c>
      <c r="D24" s="28" t="s">
        <v>30</v>
      </c>
      <c r="E24" s="30">
        <v>9.9109999999999996</v>
      </c>
      <c r="F24" s="30">
        <v>14.123200000000001</v>
      </c>
    </row>
    <row r="25" spans="1:7" s="1" customFormat="1" x14ac:dyDescent="0.25">
      <c r="A25" s="18" t="s">
        <v>42</v>
      </c>
      <c r="B25" s="19" t="s">
        <v>341</v>
      </c>
      <c r="C25" s="19" t="s">
        <v>342</v>
      </c>
      <c r="D25" s="20" t="s">
        <v>22</v>
      </c>
      <c r="E25" s="144">
        <v>3.75</v>
      </c>
      <c r="F25" s="145"/>
      <c r="G25" s="21"/>
    </row>
    <row r="26" spans="1:7" s="26" customFormat="1" outlineLevel="1" x14ac:dyDescent="0.25">
      <c r="A26" s="22" t="s">
        <v>46</v>
      </c>
      <c r="B26" s="23" t="s">
        <v>19</v>
      </c>
      <c r="C26" s="24" t="s">
        <v>37</v>
      </c>
      <c r="D26" s="23" t="s">
        <v>26</v>
      </c>
      <c r="E26" s="25">
        <v>88.5</v>
      </c>
      <c r="F26" s="25">
        <v>331.875</v>
      </c>
    </row>
    <row r="27" spans="1:7" s="1" customFormat="1" ht="25.5" x14ac:dyDescent="0.25">
      <c r="A27" s="18" t="s">
        <v>50</v>
      </c>
      <c r="B27" s="19" t="s">
        <v>343</v>
      </c>
      <c r="C27" s="19" t="s">
        <v>344</v>
      </c>
      <c r="D27" s="20" t="s">
        <v>45</v>
      </c>
      <c r="E27" s="144">
        <v>1.05</v>
      </c>
      <c r="F27" s="145"/>
      <c r="G27" s="21"/>
    </row>
    <row r="28" spans="1:7" s="26" customFormat="1" outlineLevel="1" x14ac:dyDescent="0.25">
      <c r="A28" s="22" t="s">
        <v>54</v>
      </c>
      <c r="B28" s="23" t="s">
        <v>24</v>
      </c>
      <c r="C28" s="24" t="s">
        <v>25</v>
      </c>
      <c r="D28" s="23" t="s">
        <v>26</v>
      </c>
      <c r="E28" s="25">
        <v>22.76</v>
      </c>
      <c r="F28" s="25">
        <v>23.898</v>
      </c>
    </row>
    <row r="29" spans="1:7" s="31" customFormat="1" outlineLevel="1" x14ac:dyDescent="0.25">
      <c r="A29" s="27" t="s">
        <v>55</v>
      </c>
      <c r="B29" s="28" t="s">
        <v>345</v>
      </c>
      <c r="C29" s="29" t="s">
        <v>346</v>
      </c>
      <c r="D29" s="28" t="s">
        <v>30</v>
      </c>
      <c r="E29" s="30">
        <v>19.39</v>
      </c>
      <c r="F29" s="30">
        <v>20.359500000000001</v>
      </c>
    </row>
    <row r="30" spans="1:7" s="31" customFormat="1" outlineLevel="1" x14ac:dyDescent="0.25">
      <c r="A30" s="41" t="s">
        <v>347</v>
      </c>
      <c r="B30" s="42" t="s">
        <v>348</v>
      </c>
      <c r="C30" s="43" t="s">
        <v>349</v>
      </c>
      <c r="D30" s="42" t="s">
        <v>30</v>
      </c>
      <c r="E30" s="44">
        <v>6.74</v>
      </c>
      <c r="F30" s="44">
        <v>7.077</v>
      </c>
    </row>
    <row r="31" spans="1:7" s="31" customFormat="1" outlineLevel="1" x14ac:dyDescent="0.25">
      <c r="A31" s="41" t="s">
        <v>350</v>
      </c>
      <c r="B31" s="42" t="s">
        <v>351</v>
      </c>
      <c r="C31" s="43" t="s">
        <v>352</v>
      </c>
      <c r="D31" s="42" t="s">
        <v>30</v>
      </c>
      <c r="E31" s="44">
        <v>3.37</v>
      </c>
      <c r="F31" s="44">
        <v>3.5385</v>
      </c>
    </row>
    <row r="32" spans="1:7" s="1" customFormat="1" ht="25.5" x14ac:dyDescent="0.25">
      <c r="A32" s="18" t="s">
        <v>58</v>
      </c>
      <c r="B32" s="19" t="s">
        <v>353</v>
      </c>
      <c r="C32" s="19" t="s">
        <v>354</v>
      </c>
      <c r="D32" s="20" t="s">
        <v>45</v>
      </c>
      <c r="E32" s="144">
        <v>1.05</v>
      </c>
      <c r="F32" s="145"/>
      <c r="G32" s="21"/>
    </row>
    <row r="33" spans="1:7" s="26" customFormat="1" outlineLevel="1" x14ac:dyDescent="0.25">
      <c r="A33" s="22" t="s">
        <v>62</v>
      </c>
      <c r="B33" s="23" t="s">
        <v>24</v>
      </c>
      <c r="C33" s="24" t="s">
        <v>25</v>
      </c>
      <c r="D33" s="23" t="s">
        <v>26</v>
      </c>
      <c r="E33" s="25">
        <v>0.67</v>
      </c>
      <c r="F33" s="25">
        <v>0.70350000000000001</v>
      </c>
    </row>
    <row r="34" spans="1:7" s="31" customFormat="1" outlineLevel="1" x14ac:dyDescent="0.25">
      <c r="A34" s="27" t="s">
        <v>63</v>
      </c>
      <c r="B34" s="28" t="s">
        <v>348</v>
      </c>
      <c r="C34" s="29" t="s">
        <v>349</v>
      </c>
      <c r="D34" s="28" t="s">
        <v>30</v>
      </c>
      <c r="E34" s="30">
        <v>1.34</v>
      </c>
      <c r="F34" s="30">
        <v>1.407</v>
      </c>
    </row>
    <row r="35" spans="1:7" s="31" customFormat="1" outlineLevel="1" x14ac:dyDescent="0.25">
      <c r="A35" s="41" t="s">
        <v>355</v>
      </c>
      <c r="B35" s="42" t="s">
        <v>351</v>
      </c>
      <c r="C35" s="43" t="s">
        <v>352</v>
      </c>
      <c r="D35" s="42" t="s">
        <v>30</v>
      </c>
      <c r="E35" s="44">
        <v>0.67</v>
      </c>
      <c r="F35" s="44">
        <v>0.70350000000000001</v>
      </c>
    </row>
    <row r="36" spans="1:7" s="1" customFormat="1" x14ac:dyDescent="0.25">
      <c r="A36" s="18" t="s">
        <v>66</v>
      </c>
      <c r="B36" s="19" t="s">
        <v>356</v>
      </c>
      <c r="C36" s="19" t="s">
        <v>357</v>
      </c>
      <c r="D36" s="20" t="s">
        <v>45</v>
      </c>
      <c r="E36" s="144">
        <v>1.05</v>
      </c>
      <c r="F36" s="145"/>
      <c r="G36" s="21"/>
    </row>
    <row r="37" spans="1:7" s="26" customFormat="1" outlineLevel="1" x14ac:dyDescent="0.25">
      <c r="A37" s="22" t="s">
        <v>69</v>
      </c>
      <c r="B37" s="23" t="s">
        <v>19</v>
      </c>
      <c r="C37" s="24" t="s">
        <v>37</v>
      </c>
      <c r="D37" s="23" t="s">
        <v>26</v>
      </c>
      <c r="E37" s="25">
        <v>13.91</v>
      </c>
      <c r="F37" s="25">
        <v>14.605499999999999</v>
      </c>
    </row>
    <row r="38" spans="1:7" s="36" customFormat="1" outlineLevel="1" x14ac:dyDescent="0.25">
      <c r="A38" s="32" t="s">
        <v>70</v>
      </c>
      <c r="B38" s="33" t="s">
        <v>24</v>
      </c>
      <c r="C38" s="34" t="s">
        <v>25</v>
      </c>
      <c r="D38" s="33" t="s">
        <v>26</v>
      </c>
      <c r="E38" s="35">
        <v>13.91</v>
      </c>
      <c r="F38" s="35">
        <v>14.605499999999999</v>
      </c>
    </row>
    <row r="39" spans="1:7" s="31" customFormat="1" outlineLevel="1" x14ac:dyDescent="0.25">
      <c r="A39" s="27" t="s">
        <v>73</v>
      </c>
      <c r="B39" s="28" t="s">
        <v>358</v>
      </c>
      <c r="C39" s="29" t="s">
        <v>359</v>
      </c>
      <c r="D39" s="28" t="s">
        <v>30</v>
      </c>
      <c r="E39" s="30">
        <v>13.91</v>
      </c>
      <c r="F39" s="30">
        <v>14.605499999999999</v>
      </c>
    </row>
    <row r="40" spans="1:7" s="36" customFormat="1" outlineLevel="1" x14ac:dyDescent="0.25">
      <c r="A40" s="37" t="s">
        <v>360</v>
      </c>
      <c r="B40" s="38" t="s">
        <v>158</v>
      </c>
      <c r="C40" s="39" t="s">
        <v>159</v>
      </c>
      <c r="D40" s="38" t="s">
        <v>76</v>
      </c>
      <c r="E40" s="46">
        <v>100</v>
      </c>
      <c r="F40" s="46">
        <v>105</v>
      </c>
    </row>
    <row r="41" spans="1:7" s="1" customFormat="1" ht="12.75" customHeight="1" x14ac:dyDescent="0.25">
      <c r="A41" s="15"/>
      <c r="B41" s="16"/>
      <c r="C41" s="143" t="s">
        <v>133</v>
      </c>
      <c r="D41" s="143"/>
      <c r="E41" s="16"/>
      <c r="F41" s="17"/>
    </row>
    <row r="42" spans="1:7" s="1" customFormat="1" ht="12.75" customHeight="1" x14ac:dyDescent="0.25">
      <c r="A42" s="15"/>
      <c r="B42" s="16"/>
      <c r="C42" s="143" t="s">
        <v>361</v>
      </c>
      <c r="D42" s="143"/>
      <c r="E42" s="16"/>
      <c r="F42" s="17"/>
    </row>
    <row r="43" spans="1:7" s="1" customFormat="1" ht="25.5" x14ac:dyDescent="0.25">
      <c r="A43" s="18" t="s">
        <v>77</v>
      </c>
      <c r="B43" s="19" t="s">
        <v>362</v>
      </c>
      <c r="C43" s="19" t="s">
        <v>363</v>
      </c>
      <c r="D43" s="20" t="s">
        <v>22</v>
      </c>
      <c r="E43" s="144">
        <v>2.5999999999999999E-2</v>
      </c>
      <c r="F43" s="145"/>
      <c r="G43" s="21"/>
    </row>
    <row r="44" spans="1:7" s="26" customFormat="1" outlineLevel="1" x14ac:dyDescent="0.25">
      <c r="A44" s="22" t="s">
        <v>80</v>
      </c>
      <c r="B44" s="23" t="s">
        <v>19</v>
      </c>
      <c r="C44" s="24" t="s">
        <v>37</v>
      </c>
      <c r="D44" s="23" t="s">
        <v>26</v>
      </c>
      <c r="E44" s="25">
        <v>174.4</v>
      </c>
      <c r="F44" s="25">
        <v>4.5343999999999998</v>
      </c>
    </row>
    <row r="45" spans="1:7" s="36" customFormat="1" outlineLevel="1" x14ac:dyDescent="0.25">
      <c r="A45" s="32" t="s">
        <v>81</v>
      </c>
      <c r="B45" s="33" t="s">
        <v>24</v>
      </c>
      <c r="C45" s="34" t="s">
        <v>25</v>
      </c>
      <c r="D45" s="33" t="s">
        <v>26</v>
      </c>
      <c r="E45" s="35">
        <v>1.56</v>
      </c>
      <c r="F45" s="35">
        <v>4.0559999999999999E-2</v>
      </c>
    </row>
    <row r="46" spans="1:7" s="31" customFormat="1" outlineLevel="1" x14ac:dyDescent="0.25">
      <c r="A46" s="27" t="s">
        <v>364</v>
      </c>
      <c r="B46" s="28" t="s">
        <v>190</v>
      </c>
      <c r="C46" s="29" t="s">
        <v>191</v>
      </c>
      <c r="D46" s="28" t="s">
        <v>30</v>
      </c>
      <c r="E46" s="30">
        <v>30.41</v>
      </c>
      <c r="F46" s="30">
        <v>0.79066000000000003</v>
      </c>
    </row>
    <row r="47" spans="1:7" s="31" customFormat="1" ht="24" outlineLevel="1" x14ac:dyDescent="0.25">
      <c r="A47" s="41" t="s">
        <v>365</v>
      </c>
      <c r="B47" s="42" t="s">
        <v>233</v>
      </c>
      <c r="C47" s="43" t="s">
        <v>234</v>
      </c>
      <c r="D47" s="42" t="s">
        <v>30</v>
      </c>
      <c r="E47" s="44">
        <v>0.49</v>
      </c>
      <c r="F47" s="44">
        <v>1.274E-2</v>
      </c>
    </row>
    <row r="48" spans="1:7" s="31" customFormat="1" outlineLevel="1" x14ac:dyDescent="0.25">
      <c r="A48" s="41" t="s">
        <v>366</v>
      </c>
      <c r="B48" s="42" t="s">
        <v>152</v>
      </c>
      <c r="C48" s="43" t="s">
        <v>153</v>
      </c>
      <c r="D48" s="42" t="s">
        <v>30</v>
      </c>
      <c r="E48" s="44">
        <v>1.07</v>
      </c>
      <c r="F48" s="44">
        <v>2.7820000000000001E-2</v>
      </c>
    </row>
    <row r="49" spans="1:7" s="36" customFormat="1" outlineLevel="1" x14ac:dyDescent="0.25">
      <c r="A49" s="37" t="s">
        <v>367</v>
      </c>
      <c r="B49" s="38" t="s">
        <v>368</v>
      </c>
      <c r="C49" s="39" t="s">
        <v>369</v>
      </c>
      <c r="D49" s="38" t="s">
        <v>76</v>
      </c>
      <c r="E49" s="40">
        <v>101.5</v>
      </c>
      <c r="F49" s="40">
        <v>2.6389999999999998</v>
      </c>
    </row>
    <row r="50" spans="1:7" s="36" customFormat="1" outlineLevel="1" x14ac:dyDescent="0.25">
      <c r="A50" s="47" t="s">
        <v>370</v>
      </c>
      <c r="B50" s="48" t="s">
        <v>235</v>
      </c>
      <c r="C50" s="49" t="s">
        <v>159</v>
      </c>
      <c r="D50" s="48" t="s">
        <v>76</v>
      </c>
      <c r="E50" s="51">
        <v>67.900000000000006</v>
      </c>
      <c r="F50" s="51">
        <v>1.7654000000000001</v>
      </c>
    </row>
    <row r="51" spans="1:7" s="36" customFormat="1" ht="24" outlineLevel="1" x14ac:dyDescent="0.25">
      <c r="A51" s="47" t="s">
        <v>371</v>
      </c>
      <c r="B51" s="48" t="s">
        <v>372</v>
      </c>
      <c r="C51" s="49" t="s">
        <v>373</v>
      </c>
      <c r="D51" s="48" t="s">
        <v>76</v>
      </c>
      <c r="E51" s="51">
        <v>1.7</v>
      </c>
      <c r="F51" s="51">
        <v>4.4200000000000003E-2</v>
      </c>
    </row>
    <row r="52" spans="1:7" s="36" customFormat="1" outlineLevel="1" x14ac:dyDescent="0.25">
      <c r="A52" s="47" t="s">
        <v>374</v>
      </c>
      <c r="B52" s="48" t="s">
        <v>375</v>
      </c>
      <c r="C52" s="49" t="s">
        <v>376</v>
      </c>
      <c r="D52" s="48" t="s">
        <v>377</v>
      </c>
      <c r="E52" s="51">
        <v>7.28</v>
      </c>
      <c r="F52" s="51">
        <v>0.18928</v>
      </c>
    </row>
    <row r="53" spans="1:7" s="36" customFormat="1" outlineLevel="1" x14ac:dyDescent="0.25">
      <c r="A53" s="47" t="s">
        <v>378</v>
      </c>
      <c r="B53" s="48" t="s">
        <v>236</v>
      </c>
      <c r="C53" s="49" t="s">
        <v>237</v>
      </c>
      <c r="D53" s="48" t="s">
        <v>210</v>
      </c>
      <c r="E53" s="51">
        <v>12.6</v>
      </c>
      <c r="F53" s="51">
        <v>0.3276</v>
      </c>
    </row>
    <row r="54" spans="1:7" s="1" customFormat="1" x14ac:dyDescent="0.25">
      <c r="A54" s="18" t="s">
        <v>84</v>
      </c>
      <c r="B54" s="19" t="s">
        <v>379</v>
      </c>
      <c r="C54" s="19" t="s">
        <v>380</v>
      </c>
      <c r="D54" s="20" t="s">
        <v>22</v>
      </c>
      <c r="E54" s="144">
        <v>0.128</v>
      </c>
      <c r="F54" s="145"/>
      <c r="G54" s="21"/>
    </row>
    <row r="55" spans="1:7" s="26" customFormat="1" outlineLevel="1" x14ac:dyDescent="0.25">
      <c r="A55" s="22" t="s">
        <v>85</v>
      </c>
      <c r="B55" s="23" t="s">
        <v>19</v>
      </c>
      <c r="C55" s="24" t="s">
        <v>37</v>
      </c>
      <c r="D55" s="23" t="s">
        <v>26</v>
      </c>
      <c r="E55" s="45">
        <v>218</v>
      </c>
      <c r="F55" s="25">
        <v>27.904</v>
      </c>
    </row>
    <row r="56" spans="1:7" s="36" customFormat="1" outlineLevel="1" x14ac:dyDescent="0.25">
      <c r="A56" s="32" t="s">
        <v>86</v>
      </c>
      <c r="B56" s="33" t="s">
        <v>24</v>
      </c>
      <c r="C56" s="34" t="s">
        <v>25</v>
      </c>
      <c r="D56" s="33" t="s">
        <v>26</v>
      </c>
      <c r="E56" s="35">
        <v>19.309999999999999</v>
      </c>
      <c r="F56" s="35">
        <v>2.4716999999999998</v>
      </c>
    </row>
    <row r="57" spans="1:7" s="31" customFormat="1" outlineLevel="1" x14ac:dyDescent="0.25">
      <c r="A57" s="27" t="s">
        <v>381</v>
      </c>
      <c r="B57" s="28" t="s">
        <v>140</v>
      </c>
      <c r="C57" s="29" t="s">
        <v>141</v>
      </c>
      <c r="D57" s="28" t="s">
        <v>30</v>
      </c>
      <c r="E57" s="30">
        <v>11.4</v>
      </c>
      <c r="F57" s="30">
        <v>1.4592000000000001</v>
      </c>
    </row>
    <row r="58" spans="1:7" s="31" customFormat="1" ht="24" outlineLevel="1" x14ac:dyDescent="0.25">
      <c r="A58" s="41" t="s">
        <v>382</v>
      </c>
      <c r="B58" s="42" t="s">
        <v>93</v>
      </c>
      <c r="C58" s="43" t="s">
        <v>94</v>
      </c>
      <c r="D58" s="42" t="s">
        <v>30</v>
      </c>
      <c r="E58" s="44">
        <v>5.34</v>
      </c>
      <c r="F58" s="44">
        <v>0.68352000000000002</v>
      </c>
    </row>
    <row r="59" spans="1:7" s="31" customFormat="1" ht="24" outlineLevel="1" x14ac:dyDescent="0.25">
      <c r="A59" s="41" t="s">
        <v>383</v>
      </c>
      <c r="B59" s="42" t="s">
        <v>143</v>
      </c>
      <c r="C59" s="43" t="s">
        <v>144</v>
      </c>
      <c r="D59" s="42" t="s">
        <v>30</v>
      </c>
      <c r="E59" s="44">
        <v>0.48</v>
      </c>
      <c r="F59" s="44">
        <v>6.1440000000000002E-2</v>
      </c>
    </row>
    <row r="60" spans="1:7" s="31" customFormat="1" ht="24" outlineLevel="1" x14ac:dyDescent="0.25">
      <c r="A60" s="41" t="s">
        <v>384</v>
      </c>
      <c r="B60" s="42" t="s">
        <v>146</v>
      </c>
      <c r="C60" s="43" t="s">
        <v>147</v>
      </c>
      <c r="D60" s="42" t="s">
        <v>30</v>
      </c>
      <c r="E60" s="44">
        <v>9.1999999999999993</v>
      </c>
      <c r="F60" s="44">
        <v>1.1776</v>
      </c>
    </row>
    <row r="61" spans="1:7" s="31" customFormat="1" ht="24" outlineLevel="1" x14ac:dyDescent="0.25">
      <c r="A61" s="41" t="s">
        <v>385</v>
      </c>
      <c r="B61" s="42" t="s">
        <v>386</v>
      </c>
      <c r="C61" s="43" t="s">
        <v>387</v>
      </c>
      <c r="D61" s="42" t="s">
        <v>30</v>
      </c>
      <c r="E61" s="44">
        <v>21.36</v>
      </c>
      <c r="F61" s="44">
        <v>2.7341000000000002</v>
      </c>
    </row>
    <row r="62" spans="1:7" s="31" customFormat="1" outlineLevel="1" x14ac:dyDescent="0.25">
      <c r="A62" s="41" t="s">
        <v>388</v>
      </c>
      <c r="B62" s="42" t="s">
        <v>149</v>
      </c>
      <c r="C62" s="43" t="s">
        <v>150</v>
      </c>
      <c r="D62" s="42" t="s">
        <v>30</v>
      </c>
      <c r="E62" s="44">
        <v>2.85</v>
      </c>
      <c r="F62" s="44">
        <v>0.36480000000000001</v>
      </c>
    </row>
    <row r="63" spans="1:7" s="31" customFormat="1" outlineLevel="1" x14ac:dyDescent="0.25">
      <c r="A63" s="41" t="s">
        <v>389</v>
      </c>
      <c r="B63" s="42" t="s">
        <v>152</v>
      </c>
      <c r="C63" s="43" t="s">
        <v>153</v>
      </c>
      <c r="D63" s="42" t="s">
        <v>30</v>
      </c>
      <c r="E63" s="44">
        <v>1.44</v>
      </c>
      <c r="F63" s="44">
        <v>0.18432000000000001</v>
      </c>
    </row>
    <row r="64" spans="1:7" s="36" customFormat="1" outlineLevel="1" x14ac:dyDescent="0.25">
      <c r="A64" s="37" t="s">
        <v>390</v>
      </c>
      <c r="B64" s="38" t="s">
        <v>391</v>
      </c>
      <c r="C64" s="39" t="s">
        <v>392</v>
      </c>
      <c r="D64" s="38" t="s">
        <v>76</v>
      </c>
      <c r="E64" s="40">
        <v>101.5</v>
      </c>
      <c r="F64" s="40">
        <v>12.992000000000001</v>
      </c>
    </row>
    <row r="65" spans="1:7" s="36" customFormat="1" outlineLevel="1" x14ac:dyDescent="0.25">
      <c r="A65" s="47" t="s">
        <v>393</v>
      </c>
      <c r="B65" s="48" t="s">
        <v>394</v>
      </c>
      <c r="C65" s="49" t="s">
        <v>395</v>
      </c>
      <c r="D65" s="48" t="s">
        <v>76</v>
      </c>
      <c r="E65" s="51">
        <v>0.69</v>
      </c>
      <c r="F65" s="51">
        <v>8.8319999999999996E-2</v>
      </c>
    </row>
    <row r="66" spans="1:7" s="36" customFormat="1" outlineLevel="1" x14ac:dyDescent="0.25">
      <c r="A66" s="47" t="s">
        <v>396</v>
      </c>
      <c r="B66" s="48" t="s">
        <v>235</v>
      </c>
      <c r="C66" s="49" t="s">
        <v>159</v>
      </c>
      <c r="D66" s="48" t="s">
        <v>76</v>
      </c>
      <c r="E66" s="50">
        <v>20</v>
      </c>
      <c r="F66" s="51">
        <v>2.56</v>
      </c>
    </row>
    <row r="67" spans="1:7" s="36" customFormat="1" outlineLevel="1" x14ac:dyDescent="0.25">
      <c r="A67" s="47" t="s">
        <v>397</v>
      </c>
      <c r="B67" s="48" t="s">
        <v>161</v>
      </c>
      <c r="C67" s="49" t="s">
        <v>162</v>
      </c>
      <c r="D67" s="48" t="s">
        <v>61</v>
      </c>
      <c r="E67" s="51">
        <v>5.0000000000000001E-3</v>
      </c>
      <c r="F67" s="51">
        <v>6.4000000000000005E-4</v>
      </c>
    </row>
    <row r="68" spans="1:7" s="36" customFormat="1" outlineLevel="1" x14ac:dyDescent="0.25">
      <c r="A68" s="47" t="s">
        <v>398</v>
      </c>
      <c r="B68" s="48" t="s">
        <v>399</v>
      </c>
      <c r="C68" s="49" t="s">
        <v>400</v>
      </c>
      <c r="D68" s="48" t="s">
        <v>61</v>
      </c>
      <c r="E68" s="51">
        <v>5.3E-3</v>
      </c>
      <c r="F68" s="51">
        <v>6.7840000000000001E-4</v>
      </c>
    </row>
    <row r="69" spans="1:7" s="36" customFormat="1" ht="24" outlineLevel="1" x14ac:dyDescent="0.25">
      <c r="A69" s="47" t="s">
        <v>401</v>
      </c>
      <c r="B69" s="48" t="s">
        <v>402</v>
      </c>
      <c r="C69" s="49" t="s">
        <v>403</v>
      </c>
      <c r="D69" s="48" t="s">
        <v>76</v>
      </c>
      <c r="E69" s="51">
        <v>0.2</v>
      </c>
      <c r="F69" s="51">
        <v>2.5600000000000001E-2</v>
      </c>
    </row>
    <row r="70" spans="1:7" s="36" customFormat="1" outlineLevel="1" x14ac:dyDescent="0.25">
      <c r="A70" s="47" t="s">
        <v>404</v>
      </c>
      <c r="B70" s="48" t="s">
        <v>375</v>
      </c>
      <c r="C70" s="49" t="s">
        <v>376</v>
      </c>
      <c r="D70" s="48" t="s">
        <v>377</v>
      </c>
      <c r="E70" s="51">
        <v>5.32</v>
      </c>
      <c r="F70" s="51">
        <v>0.68096000000000001</v>
      </c>
    </row>
    <row r="71" spans="1:7" s="36" customFormat="1" outlineLevel="1" x14ac:dyDescent="0.25">
      <c r="A71" s="47" t="s">
        <v>405</v>
      </c>
      <c r="B71" s="48" t="s">
        <v>208</v>
      </c>
      <c r="C71" s="49" t="s">
        <v>209</v>
      </c>
      <c r="D71" s="48" t="s">
        <v>210</v>
      </c>
      <c r="E71" s="51">
        <v>18.7</v>
      </c>
      <c r="F71" s="51">
        <v>2.3936000000000002</v>
      </c>
    </row>
    <row r="72" spans="1:7" s="1" customFormat="1" x14ac:dyDescent="0.25">
      <c r="A72" s="18" t="s">
        <v>87</v>
      </c>
      <c r="B72" s="19" t="s">
        <v>406</v>
      </c>
      <c r="C72" s="19" t="s">
        <v>407</v>
      </c>
      <c r="D72" s="20" t="s">
        <v>22</v>
      </c>
      <c r="E72" s="144">
        <v>0.47699999999999998</v>
      </c>
      <c r="F72" s="145"/>
      <c r="G72" s="21"/>
    </row>
    <row r="73" spans="1:7" s="26" customFormat="1" outlineLevel="1" x14ac:dyDescent="0.25">
      <c r="A73" s="22" t="s">
        <v>90</v>
      </c>
      <c r="B73" s="23" t="s">
        <v>19</v>
      </c>
      <c r="C73" s="24" t="s">
        <v>37</v>
      </c>
      <c r="D73" s="23" t="s">
        <v>26</v>
      </c>
      <c r="E73" s="45">
        <v>496</v>
      </c>
      <c r="F73" s="25">
        <v>236.59200000000001</v>
      </c>
    </row>
    <row r="74" spans="1:7" s="36" customFormat="1" outlineLevel="1" x14ac:dyDescent="0.25">
      <c r="A74" s="32" t="s">
        <v>91</v>
      </c>
      <c r="B74" s="33" t="s">
        <v>24</v>
      </c>
      <c r="C74" s="34" t="s">
        <v>25</v>
      </c>
      <c r="D74" s="33" t="s">
        <v>26</v>
      </c>
      <c r="E74" s="35">
        <v>35.42</v>
      </c>
      <c r="F74" s="35">
        <v>16.895299999999999</v>
      </c>
    </row>
    <row r="75" spans="1:7" s="31" customFormat="1" ht="24" outlineLevel="1" x14ac:dyDescent="0.25">
      <c r="A75" s="27" t="s">
        <v>92</v>
      </c>
      <c r="B75" s="28" t="s">
        <v>93</v>
      </c>
      <c r="C75" s="29" t="s">
        <v>94</v>
      </c>
      <c r="D75" s="28" t="s">
        <v>30</v>
      </c>
      <c r="E75" s="30">
        <v>6.38</v>
      </c>
      <c r="F75" s="30">
        <v>3.0432999999999999</v>
      </c>
    </row>
    <row r="76" spans="1:7" s="31" customFormat="1" ht="24" outlineLevel="1" x14ac:dyDescent="0.25">
      <c r="A76" s="41" t="s">
        <v>95</v>
      </c>
      <c r="B76" s="42" t="s">
        <v>143</v>
      </c>
      <c r="C76" s="43" t="s">
        <v>144</v>
      </c>
      <c r="D76" s="42" t="s">
        <v>30</v>
      </c>
      <c r="E76" s="44">
        <v>3.92</v>
      </c>
      <c r="F76" s="44">
        <v>1.8697999999999999</v>
      </c>
    </row>
    <row r="77" spans="1:7" s="31" customFormat="1" ht="24" outlineLevel="1" x14ac:dyDescent="0.25">
      <c r="A77" s="41" t="s">
        <v>408</v>
      </c>
      <c r="B77" s="42" t="s">
        <v>146</v>
      </c>
      <c r="C77" s="43" t="s">
        <v>147</v>
      </c>
      <c r="D77" s="42" t="s">
        <v>30</v>
      </c>
      <c r="E77" s="44">
        <v>13.38</v>
      </c>
      <c r="F77" s="44">
        <v>6.3822999999999999</v>
      </c>
    </row>
    <row r="78" spans="1:7" s="31" customFormat="1" ht="24" outlineLevel="1" x14ac:dyDescent="0.25">
      <c r="A78" s="41" t="s">
        <v>409</v>
      </c>
      <c r="B78" s="42" t="s">
        <v>386</v>
      </c>
      <c r="C78" s="43" t="s">
        <v>387</v>
      </c>
      <c r="D78" s="42" t="s">
        <v>30</v>
      </c>
      <c r="E78" s="44">
        <v>14.11</v>
      </c>
      <c r="F78" s="44">
        <v>6.7305000000000001</v>
      </c>
    </row>
    <row r="79" spans="1:7" s="31" customFormat="1" outlineLevel="1" x14ac:dyDescent="0.25">
      <c r="A79" s="41" t="s">
        <v>410</v>
      </c>
      <c r="B79" s="42" t="s">
        <v>411</v>
      </c>
      <c r="C79" s="43" t="s">
        <v>412</v>
      </c>
      <c r="D79" s="42" t="s">
        <v>30</v>
      </c>
      <c r="E79" s="44">
        <v>11.39</v>
      </c>
      <c r="F79" s="44">
        <v>5.4329999999999998</v>
      </c>
    </row>
    <row r="80" spans="1:7" s="31" customFormat="1" outlineLevel="1" x14ac:dyDescent="0.25">
      <c r="A80" s="41" t="s">
        <v>413</v>
      </c>
      <c r="B80" s="42" t="s">
        <v>152</v>
      </c>
      <c r="C80" s="43" t="s">
        <v>153</v>
      </c>
      <c r="D80" s="42" t="s">
        <v>30</v>
      </c>
      <c r="E80" s="44">
        <v>11.74</v>
      </c>
      <c r="F80" s="44">
        <v>5.6</v>
      </c>
    </row>
    <row r="81" spans="1:7" s="36" customFormat="1" outlineLevel="1" x14ac:dyDescent="0.25">
      <c r="A81" s="37" t="s">
        <v>414</v>
      </c>
      <c r="B81" s="38" t="s">
        <v>391</v>
      </c>
      <c r="C81" s="39" t="s">
        <v>392</v>
      </c>
      <c r="D81" s="38" t="s">
        <v>76</v>
      </c>
      <c r="E81" s="40">
        <v>101.5</v>
      </c>
      <c r="F81" s="40">
        <v>48.415500000000002</v>
      </c>
    </row>
    <row r="82" spans="1:7" s="36" customFormat="1" outlineLevel="1" x14ac:dyDescent="0.25">
      <c r="A82" s="47" t="s">
        <v>415</v>
      </c>
      <c r="B82" s="48" t="s">
        <v>394</v>
      </c>
      <c r="C82" s="49" t="s">
        <v>395</v>
      </c>
      <c r="D82" s="48" t="s">
        <v>76</v>
      </c>
      <c r="E82" s="51">
        <v>2.66</v>
      </c>
      <c r="F82" s="51">
        <v>1.2687999999999999</v>
      </c>
    </row>
    <row r="83" spans="1:7" s="36" customFormat="1" outlineLevel="1" x14ac:dyDescent="0.25">
      <c r="A83" s="47" t="s">
        <v>416</v>
      </c>
      <c r="B83" s="48" t="s">
        <v>235</v>
      </c>
      <c r="C83" s="49" t="s">
        <v>159</v>
      </c>
      <c r="D83" s="48" t="s">
        <v>76</v>
      </c>
      <c r="E83" s="50">
        <v>47</v>
      </c>
      <c r="F83" s="51">
        <v>22.419</v>
      </c>
    </row>
    <row r="84" spans="1:7" s="36" customFormat="1" outlineLevel="1" x14ac:dyDescent="0.25">
      <c r="A84" s="47" t="s">
        <v>417</v>
      </c>
      <c r="B84" s="48" t="s">
        <v>418</v>
      </c>
      <c r="C84" s="49" t="s">
        <v>419</v>
      </c>
      <c r="D84" s="48" t="s">
        <v>61</v>
      </c>
      <c r="E84" s="51">
        <v>7.2999999999999995E-2</v>
      </c>
      <c r="F84" s="51">
        <v>3.4820999999999998E-2</v>
      </c>
    </row>
    <row r="85" spans="1:7" s="36" customFormat="1" outlineLevel="1" x14ac:dyDescent="0.25">
      <c r="A85" s="47" t="s">
        <v>420</v>
      </c>
      <c r="B85" s="48" t="s">
        <v>161</v>
      </c>
      <c r="C85" s="49" t="s">
        <v>162</v>
      </c>
      <c r="D85" s="48" t="s">
        <v>61</v>
      </c>
      <c r="E85" s="51">
        <v>0.13200000000000001</v>
      </c>
      <c r="F85" s="51">
        <v>6.2964000000000006E-2</v>
      </c>
    </row>
    <row r="86" spans="1:7" s="36" customFormat="1" outlineLevel="1" x14ac:dyDescent="0.25">
      <c r="A86" s="47" t="s">
        <v>421</v>
      </c>
      <c r="B86" s="48" t="s">
        <v>399</v>
      </c>
      <c r="C86" s="49" t="s">
        <v>400</v>
      </c>
      <c r="D86" s="48" t="s">
        <v>61</v>
      </c>
      <c r="E86" s="51">
        <v>3.5000000000000003E-2</v>
      </c>
      <c r="F86" s="51">
        <v>1.6695000000000002E-2</v>
      </c>
    </row>
    <row r="87" spans="1:7" s="36" customFormat="1" outlineLevel="1" x14ac:dyDescent="0.25">
      <c r="A87" s="47" t="s">
        <v>422</v>
      </c>
      <c r="B87" s="48" t="s">
        <v>200</v>
      </c>
      <c r="C87" s="49" t="s">
        <v>201</v>
      </c>
      <c r="D87" s="48" t="s">
        <v>61</v>
      </c>
      <c r="E87" s="51">
        <v>0.04</v>
      </c>
      <c r="F87" s="51">
        <v>1.908E-2</v>
      </c>
    </row>
    <row r="88" spans="1:7" s="36" customFormat="1" ht="24" outlineLevel="1" x14ac:dyDescent="0.25">
      <c r="A88" s="47" t="s">
        <v>423</v>
      </c>
      <c r="B88" s="48" t="s">
        <v>424</v>
      </c>
      <c r="C88" s="49" t="s">
        <v>425</v>
      </c>
      <c r="D88" s="48" t="s">
        <v>76</v>
      </c>
      <c r="E88" s="51">
        <v>0.1</v>
      </c>
      <c r="F88" s="51">
        <v>4.7699999999999999E-2</v>
      </c>
    </row>
    <row r="89" spans="1:7" s="36" customFormat="1" ht="24" outlineLevel="1" x14ac:dyDescent="0.25">
      <c r="A89" s="47" t="s">
        <v>426</v>
      </c>
      <c r="B89" s="48" t="s">
        <v>427</v>
      </c>
      <c r="C89" s="49" t="s">
        <v>428</v>
      </c>
      <c r="D89" s="48" t="s">
        <v>76</v>
      </c>
      <c r="E89" s="51">
        <v>0.16</v>
      </c>
      <c r="F89" s="51">
        <v>7.6319999999999999E-2</v>
      </c>
    </row>
    <row r="90" spans="1:7" s="36" customFormat="1" ht="24" outlineLevel="1" x14ac:dyDescent="0.25">
      <c r="A90" s="47" t="s">
        <v>429</v>
      </c>
      <c r="B90" s="48" t="s">
        <v>402</v>
      </c>
      <c r="C90" s="49" t="s">
        <v>403</v>
      </c>
      <c r="D90" s="48" t="s">
        <v>76</v>
      </c>
      <c r="E90" s="51">
        <v>2.57</v>
      </c>
      <c r="F90" s="51">
        <v>1.2259</v>
      </c>
    </row>
    <row r="91" spans="1:7" s="36" customFormat="1" outlineLevel="1" x14ac:dyDescent="0.25">
      <c r="A91" s="47" t="s">
        <v>430</v>
      </c>
      <c r="B91" s="48" t="s">
        <v>375</v>
      </c>
      <c r="C91" s="49" t="s">
        <v>376</v>
      </c>
      <c r="D91" s="48" t="s">
        <v>377</v>
      </c>
      <c r="E91" s="50">
        <v>6</v>
      </c>
      <c r="F91" s="51">
        <v>2.8620000000000001</v>
      </c>
    </row>
    <row r="92" spans="1:7" s="36" customFormat="1" outlineLevel="1" x14ac:dyDescent="0.25">
      <c r="A92" s="47" t="s">
        <v>431</v>
      </c>
      <c r="B92" s="48" t="s">
        <v>208</v>
      </c>
      <c r="C92" s="49" t="s">
        <v>209</v>
      </c>
      <c r="D92" s="48" t="s">
        <v>210</v>
      </c>
      <c r="E92" s="51">
        <v>126.4</v>
      </c>
      <c r="F92" s="51">
        <v>60.2928</v>
      </c>
    </row>
    <row r="93" spans="1:7" s="1" customFormat="1" x14ac:dyDescent="0.25">
      <c r="A93" s="18" t="s">
        <v>98</v>
      </c>
      <c r="B93" s="19" t="s">
        <v>406</v>
      </c>
      <c r="C93" s="19" t="s">
        <v>432</v>
      </c>
      <c r="D93" s="20" t="s">
        <v>22</v>
      </c>
      <c r="E93" s="144">
        <v>2.8000000000000001E-2</v>
      </c>
      <c r="F93" s="145"/>
      <c r="G93" s="21"/>
    </row>
    <row r="94" spans="1:7" s="26" customFormat="1" outlineLevel="1" x14ac:dyDescent="0.25">
      <c r="A94" s="22" t="s">
        <v>102</v>
      </c>
      <c r="B94" s="23" t="s">
        <v>19</v>
      </c>
      <c r="C94" s="24" t="s">
        <v>37</v>
      </c>
      <c r="D94" s="23" t="s">
        <v>26</v>
      </c>
      <c r="E94" s="45">
        <v>496</v>
      </c>
      <c r="F94" s="25">
        <v>13.888</v>
      </c>
    </row>
    <row r="95" spans="1:7" s="36" customFormat="1" outlineLevel="1" x14ac:dyDescent="0.25">
      <c r="A95" s="32" t="s">
        <v>103</v>
      </c>
      <c r="B95" s="33" t="s">
        <v>24</v>
      </c>
      <c r="C95" s="34" t="s">
        <v>25</v>
      </c>
      <c r="D95" s="33" t="s">
        <v>26</v>
      </c>
      <c r="E95" s="35">
        <v>35.42</v>
      </c>
      <c r="F95" s="35">
        <v>0.99175999999999997</v>
      </c>
    </row>
    <row r="96" spans="1:7" s="31" customFormat="1" ht="24" outlineLevel="1" x14ac:dyDescent="0.25">
      <c r="A96" s="27" t="s">
        <v>433</v>
      </c>
      <c r="B96" s="28" t="s">
        <v>93</v>
      </c>
      <c r="C96" s="29" t="s">
        <v>94</v>
      </c>
      <c r="D96" s="28" t="s">
        <v>30</v>
      </c>
      <c r="E96" s="30">
        <v>6.38</v>
      </c>
      <c r="F96" s="30">
        <v>0.17863999999999999</v>
      </c>
    </row>
    <row r="97" spans="1:6" s="31" customFormat="1" ht="24" outlineLevel="1" x14ac:dyDescent="0.25">
      <c r="A97" s="41" t="s">
        <v>434</v>
      </c>
      <c r="B97" s="42" t="s">
        <v>143</v>
      </c>
      <c r="C97" s="43" t="s">
        <v>144</v>
      </c>
      <c r="D97" s="42" t="s">
        <v>30</v>
      </c>
      <c r="E97" s="44">
        <v>3.92</v>
      </c>
      <c r="F97" s="44">
        <v>0.10976</v>
      </c>
    </row>
    <row r="98" spans="1:6" s="31" customFormat="1" ht="24" outlineLevel="1" x14ac:dyDescent="0.25">
      <c r="A98" s="41" t="s">
        <v>435</v>
      </c>
      <c r="B98" s="42" t="s">
        <v>146</v>
      </c>
      <c r="C98" s="43" t="s">
        <v>147</v>
      </c>
      <c r="D98" s="42" t="s">
        <v>30</v>
      </c>
      <c r="E98" s="44">
        <v>13.38</v>
      </c>
      <c r="F98" s="44">
        <v>0.37463999999999997</v>
      </c>
    </row>
    <row r="99" spans="1:6" s="31" customFormat="1" ht="24" outlineLevel="1" x14ac:dyDescent="0.25">
      <c r="A99" s="41" t="s">
        <v>436</v>
      </c>
      <c r="B99" s="42" t="s">
        <v>386</v>
      </c>
      <c r="C99" s="43" t="s">
        <v>387</v>
      </c>
      <c r="D99" s="42" t="s">
        <v>30</v>
      </c>
      <c r="E99" s="44">
        <v>14.11</v>
      </c>
      <c r="F99" s="44">
        <v>0.39507999999999999</v>
      </c>
    </row>
    <row r="100" spans="1:6" s="31" customFormat="1" outlineLevel="1" x14ac:dyDescent="0.25">
      <c r="A100" s="41" t="s">
        <v>437</v>
      </c>
      <c r="B100" s="42" t="s">
        <v>411</v>
      </c>
      <c r="C100" s="43" t="s">
        <v>412</v>
      </c>
      <c r="D100" s="42" t="s">
        <v>30</v>
      </c>
      <c r="E100" s="44">
        <v>11.39</v>
      </c>
      <c r="F100" s="44">
        <v>0.31891999999999998</v>
      </c>
    </row>
    <row r="101" spans="1:6" s="31" customFormat="1" outlineLevel="1" x14ac:dyDescent="0.25">
      <c r="A101" s="41" t="s">
        <v>438</v>
      </c>
      <c r="B101" s="42" t="s">
        <v>152</v>
      </c>
      <c r="C101" s="43" t="s">
        <v>153</v>
      </c>
      <c r="D101" s="42" t="s">
        <v>30</v>
      </c>
      <c r="E101" s="44">
        <v>11.74</v>
      </c>
      <c r="F101" s="44">
        <v>0.32872000000000001</v>
      </c>
    </row>
    <row r="102" spans="1:6" s="36" customFormat="1" outlineLevel="1" x14ac:dyDescent="0.25">
      <c r="A102" s="37" t="s">
        <v>439</v>
      </c>
      <c r="B102" s="38" t="s">
        <v>391</v>
      </c>
      <c r="C102" s="39" t="s">
        <v>392</v>
      </c>
      <c r="D102" s="38" t="s">
        <v>76</v>
      </c>
      <c r="E102" s="40">
        <v>101.5</v>
      </c>
      <c r="F102" s="40">
        <v>2.8420000000000001</v>
      </c>
    </row>
    <row r="103" spans="1:6" s="36" customFormat="1" outlineLevel="1" x14ac:dyDescent="0.25">
      <c r="A103" s="47" t="s">
        <v>440</v>
      </c>
      <c r="B103" s="48" t="s">
        <v>394</v>
      </c>
      <c r="C103" s="49" t="s">
        <v>395</v>
      </c>
      <c r="D103" s="48" t="s">
        <v>76</v>
      </c>
      <c r="E103" s="51">
        <v>2.66</v>
      </c>
      <c r="F103" s="51">
        <v>7.4480000000000005E-2</v>
      </c>
    </row>
    <row r="104" spans="1:6" s="36" customFormat="1" outlineLevel="1" x14ac:dyDescent="0.25">
      <c r="A104" s="47" t="s">
        <v>441</v>
      </c>
      <c r="B104" s="48" t="s">
        <v>235</v>
      </c>
      <c r="C104" s="49" t="s">
        <v>159</v>
      </c>
      <c r="D104" s="48" t="s">
        <v>76</v>
      </c>
      <c r="E104" s="50">
        <v>47</v>
      </c>
      <c r="F104" s="51">
        <v>1.3160000000000001</v>
      </c>
    </row>
    <row r="105" spans="1:6" s="36" customFormat="1" outlineLevel="1" x14ac:dyDescent="0.25">
      <c r="A105" s="47" t="s">
        <v>442</v>
      </c>
      <c r="B105" s="48" t="s">
        <v>418</v>
      </c>
      <c r="C105" s="49" t="s">
        <v>419</v>
      </c>
      <c r="D105" s="48" t="s">
        <v>61</v>
      </c>
      <c r="E105" s="51">
        <v>7.2999999999999995E-2</v>
      </c>
      <c r="F105" s="51">
        <v>2.0439999999999998E-3</v>
      </c>
    </row>
    <row r="106" spans="1:6" s="36" customFormat="1" outlineLevel="1" x14ac:dyDescent="0.25">
      <c r="A106" s="47" t="s">
        <v>443</v>
      </c>
      <c r="B106" s="48" t="s">
        <v>161</v>
      </c>
      <c r="C106" s="49" t="s">
        <v>162</v>
      </c>
      <c r="D106" s="48" t="s">
        <v>61</v>
      </c>
      <c r="E106" s="51">
        <v>0.13200000000000001</v>
      </c>
      <c r="F106" s="51">
        <v>3.6960000000000001E-3</v>
      </c>
    </row>
    <row r="107" spans="1:6" s="36" customFormat="1" outlineLevel="1" x14ac:dyDescent="0.25">
      <c r="A107" s="47" t="s">
        <v>444</v>
      </c>
      <c r="B107" s="48" t="s">
        <v>399</v>
      </c>
      <c r="C107" s="49" t="s">
        <v>400</v>
      </c>
      <c r="D107" s="48" t="s">
        <v>61</v>
      </c>
      <c r="E107" s="51">
        <v>3.5000000000000003E-2</v>
      </c>
      <c r="F107" s="51">
        <v>9.7999999999999997E-4</v>
      </c>
    </row>
    <row r="108" spans="1:6" s="36" customFormat="1" outlineLevel="1" x14ac:dyDescent="0.25">
      <c r="A108" s="47" t="s">
        <v>445</v>
      </c>
      <c r="B108" s="48" t="s">
        <v>200</v>
      </c>
      <c r="C108" s="49" t="s">
        <v>201</v>
      </c>
      <c r="D108" s="48" t="s">
        <v>61</v>
      </c>
      <c r="E108" s="51">
        <v>0.04</v>
      </c>
      <c r="F108" s="51">
        <v>1.1199999999999999E-3</v>
      </c>
    </row>
    <row r="109" spans="1:6" s="36" customFormat="1" ht="24" outlineLevel="1" x14ac:dyDescent="0.25">
      <c r="A109" s="47" t="s">
        <v>446</v>
      </c>
      <c r="B109" s="48" t="s">
        <v>424</v>
      </c>
      <c r="C109" s="49" t="s">
        <v>425</v>
      </c>
      <c r="D109" s="48" t="s">
        <v>76</v>
      </c>
      <c r="E109" s="51">
        <v>0.1</v>
      </c>
      <c r="F109" s="51">
        <v>2.8E-3</v>
      </c>
    </row>
    <row r="110" spans="1:6" s="36" customFormat="1" ht="24" outlineLevel="1" x14ac:dyDescent="0.25">
      <c r="A110" s="47" t="s">
        <v>447</v>
      </c>
      <c r="B110" s="48" t="s">
        <v>427</v>
      </c>
      <c r="C110" s="49" t="s">
        <v>428</v>
      </c>
      <c r="D110" s="48" t="s">
        <v>76</v>
      </c>
      <c r="E110" s="51">
        <v>0.16</v>
      </c>
      <c r="F110" s="51">
        <v>4.4799999999999996E-3</v>
      </c>
    </row>
    <row r="111" spans="1:6" s="36" customFormat="1" ht="24" outlineLevel="1" x14ac:dyDescent="0.25">
      <c r="A111" s="47" t="s">
        <v>448</v>
      </c>
      <c r="B111" s="48" t="s">
        <v>402</v>
      </c>
      <c r="C111" s="49" t="s">
        <v>403</v>
      </c>
      <c r="D111" s="48" t="s">
        <v>76</v>
      </c>
      <c r="E111" s="51">
        <v>2.57</v>
      </c>
      <c r="F111" s="51">
        <v>7.1959999999999996E-2</v>
      </c>
    </row>
    <row r="112" spans="1:6" s="36" customFormat="1" outlineLevel="1" x14ac:dyDescent="0.25">
      <c r="A112" s="47" t="s">
        <v>449</v>
      </c>
      <c r="B112" s="48" t="s">
        <v>375</v>
      </c>
      <c r="C112" s="49" t="s">
        <v>376</v>
      </c>
      <c r="D112" s="48" t="s">
        <v>377</v>
      </c>
      <c r="E112" s="50">
        <v>6</v>
      </c>
      <c r="F112" s="51">
        <v>0.16800000000000001</v>
      </c>
    </row>
    <row r="113" spans="1:7" s="36" customFormat="1" outlineLevel="1" x14ac:dyDescent="0.25">
      <c r="A113" s="47" t="s">
        <v>450</v>
      </c>
      <c r="B113" s="48" t="s">
        <v>208</v>
      </c>
      <c r="C113" s="49" t="s">
        <v>209</v>
      </c>
      <c r="D113" s="48" t="s">
        <v>210</v>
      </c>
      <c r="E113" s="51">
        <v>126.4</v>
      </c>
      <c r="F113" s="51">
        <v>3.5392000000000001</v>
      </c>
    </row>
    <row r="114" spans="1:7" s="1" customFormat="1" x14ac:dyDescent="0.25">
      <c r="A114" s="18" t="s">
        <v>106</v>
      </c>
      <c r="B114" s="19" t="s">
        <v>451</v>
      </c>
      <c r="C114" s="19" t="s">
        <v>452</v>
      </c>
      <c r="D114" s="20" t="s">
        <v>453</v>
      </c>
      <c r="E114" s="144">
        <v>1.5827999999999998E-2</v>
      </c>
      <c r="F114" s="145"/>
      <c r="G114" s="21"/>
    </row>
    <row r="115" spans="1:7" s="26" customFormat="1" outlineLevel="1" x14ac:dyDescent="0.25">
      <c r="A115" s="22" t="s">
        <v>109</v>
      </c>
      <c r="B115" s="23" t="s">
        <v>19</v>
      </c>
      <c r="C115" s="24" t="s">
        <v>37</v>
      </c>
      <c r="D115" s="23" t="s">
        <v>26</v>
      </c>
      <c r="E115" s="45">
        <v>3435</v>
      </c>
      <c r="F115" s="25">
        <v>54.369199999999999</v>
      </c>
    </row>
    <row r="116" spans="1:7" s="36" customFormat="1" outlineLevel="1" x14ac:dyDescent="0.25">
      <c r="A116" s="32" t="s">
        <v>110</v>
      </c>
      <c r="B116" s="33" t="s">
        <v>24</v>
      </c>
      <c r="C116" s="34" t="s">
        <v>25</v>
      </c>
      <c r="D116" s="33" t="s">
        <v>26</v>
      </c>
      <c r="E116" s="99">
        <v>534</v>
      </c>
      <c r="F116" s="35">
        <v>8.4521999999999995</v>
      </c>
    </row>
    <row r="117" spans="1:7" s="31" customFormat="1" ht="24" outlineLevel="1" x14ac:dyDescent="0.25">
      <c r="A117" s="27" t="s">
        <v>111</v>
      </c>
      <c r="B117" s="28" t="s">
        <v>454</v>
      </c>
      <c r="C117" s="29" t="s">
        <v>455</v>
      </c>
      <c r="D117" s="28" t="s">
        <v>30</v>
      </c>
      <c r="E117" s="100">
        <v>210</v>
      </c>
      <c r="F117" s="30">
        <v>3.3239000000000001</v>
      </c>
    </row>
    <row r="118" spans="1:7" s="31" customFormat="1" ht="24" outlineLevel="1" x14ac:dyDescent="0.25">
      <c r="A118" s="41" t="s">
        <v>456</v>
      </c>
      <c r="B118" s="42" t="s">
        <v>146</v>
      </c>
      <c r="C118" s="43" t="s">
        <v>147</v>
      </c>
      <c r="D118" s="42" t="s">
        <v>30</v>
      </c>
      <c r="E118" s="101">
        <v>526</v>
      </c>
      <c r="F118" s="44">
        <v>8.3254999999999999</v>
      </c>
    </row>
    <row r="119" spans="1:7" s="31" customFormat="1" outlineLevel="1" x14ac:dyDescent="0.25">
      <c r="A119" s="41" t="s">
        <v>457</v>
      </c>
      <c r="B119" s="42" t="s">
        <v>152</v>
      </c>
      <c r="C119" s="43" t="s">
        <v>153</v>
      </c>
      <c r="D119" s="42" t="s">
        <v>30</v>
      </c>
      <c r="E119" s="101">
        <v>8</v>
      </c>
      <c r="F119" s="44">
        <v>0.12662399999999999</v>
      </c>
    </row>
    <row r="120" spans="1:7" s="36" customFormat="1" outlineLevel="1" x14ac:dyDescent="0.25">
      <c r="A120" s="37" t="s">
        <v>458</v>
      </c>
      <c r="B120" s="38" t="s">
        <v>459</v>
      </c>
      <c r="C120" s="39" t="s">
        <v>460</v>
      </c>
      <c r="D120" s="38" t="s">
        <v>61</v>
      </c>
      <c r="E120" s="40">
        <v>0.63</v>
      </c>
      <c r="F120" s="40">
        <v>9.9716000000000006E-3</v>
      </c>
    </row>
    <row r="121" spans="1:7" s="36" customFormat="1" outlineLevel="1" x14ac:dyDescent="0.25">
      <c r="A121" s="47" t="s">
        <v>461</v>
      </c>
      <c r="B121" s="48" t="s">
        <v>220</v>
      </c>
      <c r="C121" s="49" t="s">
        <v>221</v>
      </c>
      <c r="D121" s="48" t="s">
        <v>61</v>
      </c>
      <c r="E121" s="51">
        <v>0.14000000000000001</v>
      </c>
      <c r="F121" s="51">
        <v>2.2158999999999998E-3</v>
      </c>
    </row>
    <row r="122" spans="1:7" s="1" customFormat="1" x14ac:dyDescent="0.25">
      <c r="A122" s="18" t="s">
        <v>114</v>
      </c>
      <c r="B122" s="19" t="s">
        <v>462</v>
      </c>
      <c r="C122" s="19" t="s">
        <v>463</v>
      </c>
      <c r="D122" s="20" t="s">
        <v>182</v>
      </c>
      <c r="E122" s="148">
        <v>1.5828</v>
      </c>
      <c r="F122" s="149"/>
      <c r="G122" s="21"/>
    </row>
    <row r="123" spans="1:7" s="1" customFormat="1" x14ac:dyDescent="0.25">
      <c r="A123" s="18" t="s">
        <v>119</v>
      </c>
      <c r="B123" s="19" t="s">
        <v>462</v>
      </c>
      <c r="C123" s="19" t="s">
        <v>464</v>
      </c>
      <c r="D123" s="20" t="s">
        <v>182</v>
      </c>
      <c r="E123" s="148">
        <v>7.9000000000000008E-3</v>
      </c>
      <c r="F123" s="149"/>
      <c r="G123" s="21"/>
    </row>
    <row r="124" spans="1:7" s="1" customFormat="1" ht="12.75" customHeight="1" x14ac:dyDescent="0.25">
      <c r="A124" s="15"/>
      <c r="B124" s="16"/>
      <c r="C124" s="143" t="s">
        <v>465</v>
      </c>
      <c r="D124" s="143"/>
      <c r="E124" s="16"/>
      <c r="F124" s="17"/>
    </row>
    <row r="125" spans="1:7" s="1" customFormat="1" x14ac:dyDescent="0.25">
      <c r="A125" s="18" t="s">
        <v>123</v>
      </c>
      <c r="B125" s="19" t="s">
        <v>379</v>
      </c>
      <c r="C125" s="19" t="s">
        <v>380</v>
      </c>
      <c r="D125" s="20" t="s">
        <v>22</v>
      </c>
      <c r="E125" s="144">
        <v>2.1000000000000001E-2</v>
      </c>
      <c r="F125" s="145"/>
      <c r="G125" s="21"/>
    </row>
    <row r="126" spans="1:7" s="26" customFormat="1" outlineLevel="1" x14ac:dyDescent="0.25">
      <c r="A126" s="22" t="s">
        <v>126</v>
      </c>
      <c r="B126" s="23" t="s">
        <v>19</v>
      </c>
      <c r="C126" s="24" t="s">
        <v>37</v>
      </c>
      <c r="D126" s="23" t="s">
        <v>26</v>
      </c>
      <c r="E126" s="45">
        <v>218</v>
      </c>
      <c r="F126" s="25">
        <v>4.5780000000000003</v>
      </c>
    </row>
    <row r="127" spans="1:7" s="36" customFormat="1" outlineLevel="1" x14ac:dyDescent="0.25">
      <c r="A127" s="32" t="s">
        <v>127</v>
      </c>
      <c r="B127" s="33" t="s">
        <v>24</v>
      </c>
      <c r="C127" s="34" t="s">
        <v>25</v>
      </c>
      <c r="D127" s="33" t="s">
        <v>26</v>
      </c>
      <c r="E127" s="35">
        <v>19.309999999999999</v>
      </c>
      <c r="F127" s="35">
        <v>0.40550999999999998</v>
      </c>
    </row>
    <row r="128" spans="1:7" s="31" customFormat="1" outlineLevel="1" x14ac:dyDescent="0.25">
      <c r="A128" s="27" t="s">
        <v>466</v>
      </c>
      <c r="B128" s="28" t="s">
        <v>140</v>
      </c>
      <c r="C128" s="29" t="s">
        <v>141</v>
      </c>
      <c r="D128" s="28" t="s">
        <v>30</v>
      </c>
      <c r="E128" s="30">
        <v>11.4</v>
      </c>
      <c r="F128" s="30">
        <v>0.2394</v>
      </c>
    </row>
    <row r="129" spans="1:7" s="31" customFormat="1" ht="24" outlineLevel="1" x14ac:dyDescent="0.25">
      <c r="A129" s="41" t="s">
        <v>467</v>
      </c>
      <c r="B129" s="42" t="s">
        <v>93</v>
      </c>
      <c r="C129" s="43" t="s">
        <v>94</v>
      </c>
      <c r="D129" s="42" t="s">
        <v>30</v>
      </c>
      <c r="E129" s="44">
        <v>5.34</v>
      </c>
      <c r="F129" s="44">
        <v>0.11214</v>
      </c>
    </row>
    <row r="130" spans="1:7" s="31" customFormat="1" ht="24" outlineLevel="1" x14ac:dyDescent="0.25">
      <c r="A130" s="41" t="s">
        <v>468</v>
      </c>
      <c r="B130" s="42" t="s">
        <v>143</v>
      </c>
      <c r="C130" s="43" t="s">
        <v>144</v>
      </c>
      <c r="D130" s="42" t="s">
        <v>30</v>
      </c>
      <c r="E130" s="44">
        <v>0.48</v>
      </c>
      <c r="F130" s="44">
        <v>1.008E-2</v>
      </c>
    </row>
    <row r="131" spans="1:7" s="31" customFormat="1" ht="24" outlineLevel="1" x14ac:dyDescent="0.25">
      <c r="A131" s="41" t="s">
        <v>469</v>
      </c>
      <c r="B131" s="42" t="s">
        <v>146</v>
      </c>
      <c r="C131" s="43" t="s">
        <v>147</v>
      </c>
      <c r="D131" s="42" t="s">
        <v>30</v>
      </c>
      <c r="E131" s="44">
        <v>9.1999999999999993</v>
      </c>
      <c r="F131" s="44">
        <v>0.19320000000000001</v>
      </c>
    </row>
    <row r="132" spans="1:7" s="31" customFormat="1" ht="24" outlineLevel="1" x14ac:dyDescent="0.25">
      <c r="A132" s="41" t="s">
        <v>470</v>
      </c>
      <c r="B132" s="42" t="s">
        <v>386</v>
      </c>
      <c r="C132" s="43" t="s">
        <v>387</v>
      </c>
      <c r="D132" s="42" t="s">
        <v>30</v>
      </c>
      <c r="E132" s="44">
        <v>21.36</v>
      </c>
      <c r="F132" s="44">
        <v>0.44856000000000001</v>
      </c>
    </row>
    <row r="133" spans="1:7" s="31" customFormat="1" outlineLevel="1" x14ac:dyDescent="0.25">
      <c r="A133" s="41" t="s">
        <v>471</v>
      </c>
      <c r="B133" s="42" t="s">
        <v>149</v>
      </c>
      <c r="C133" s="43" t="s">
        <v>150</v>
      </c>
      <c r="D133" s="42" t="s">
        <v>30</v>
      </c>
      <c r="E133" s="44">
        <v>2.85</v>
      </c>
      <c r="F133" s="44">
        <v>5.985E-2</v>
      </c>
    </row>
    <row r="134" spans="1:7" s="31" customFormat="1" outlineLevel="1" x14ac:dyDescent="0.25">
      <c r="A134" s="41" t="s">
        <v>472</v>
      </c>
      <c r="B134" s="42" t="s">
        <v>152</v>
      </c>
      <c r="C134" s="43" t="s">
        <v>153</v>
      </c>
      <c r="D134" s="42" t="s">
        <v>30</v>
      </c>
      <c r="E134" s="44">
        <v>1.44</v>
      </c>
      <c r="F134" s="44">
        <v>3.024E-2</v>
      </c>
    </row>
    <row r="135" spans="1:7" s="36" customFormat="1" outlineLevel="1" x14ac:dyDescent="0.25">
      <c r="A135" s="37" t="s">
        <v>473</v>
      </c>
      <c r="B135" s="38" t="s">
        <v>474</v>
      </c>
      <c r="C135" s="39" t="s">
        <v>475</v>
      </c>
      <c r="D135" s="38" t="s">
        <v>76</v>
      </c>
      <c r="E135" s="40">
        <v>101.5</v>
      </c>
      <c r="F135" s="40">
        <v>2.1315</v>
      </c>
    </row>
    <row r="136" spans="1:7" s="36" customFormat="1" outlineLevel="1" x14ac:dyDescent="0.25">
      <c r="A136" s="47" t="s">
        <v>476</v>
      </c>
      <c r="B136" s="48" t="s">
        <v>394</v>
      </c>
      <c r="C136" s="49" t="s">
        <v>395</v>
      </c>
      <c r="D136" s="48" t="s">
        <v>76</v>
      </c>
      <c r="E136" s="51">
        <v>0.69</v>
      </c>
      <c r="F136" s="51">
        <v>1.4489999999999999E-2</v>
      </c>
    </row>
    <row r="137" spans="1:7" s="36" customFormat="1" outlineLevel="1" x14ac:dyDescent="0.25">
      <c r="A137" s="47" t="s">
        <v>477</v>
      </c>
      <c r="B137" s="48" t="s">
        <v>235</v>
      </c>
      <c r="C137" s="49" t="s">
        <v>159</v>
      </c>
      <c r="D137" s="48" t="s">
        <v>76</v>
      </c>
      <c r="E137" s="50">
        <v>20</v>
      </c>
      <c r="F137" s="51">
        <v>0.42</v>
      </c>
    </row>
    <row r="138" spans="1:7" s="36" customFormat="1" outlineLevel="1" x14ac:dyDescent="0.25">
      <c r="A138" s="47" t="s">
        <v>478</v>
      </c>
      <c r="B138" s="48" t="s">
        <v>161</v>
      </c>
      <c r="C138" s="49" t="s">
        <v>162</v>
      </c>
      <c r="D138" s="48" t="s">
        <v>61</v>
      </c>
      <c r="E138" s="51">
        <v>5.0000000000000001E-3</v>
      </c>
      <c r="F138" s="51">
        <v>1.05E-4</v>
      </c>
    </row>
    <row r="139" spans="1:7" s="36" customFormat="1" outlineLevel="1" x14ac:dyDescent="0.25">
      <c r="A139" s="47" t="s">
        <v>479</v>
      </c>
      <c r="B139" s="48" t="s">
        <v>399</v>
      </c>
      <c r="C139" s="49" t="s">
        <v>400</v>
      </c>
      <c r="D139" s="48" t="s">
        <v>61</v>
      </c>
      <c r="E139" s="51">
        <v>5.3E-3</v>
      </c>
      <c r="F139" s="51">
        <v>1.1129999999999999E-4</v>
      </c>
    </row>
    <row r="140" spans="1:7" s="36" customFormat="1" ht="24" outlineLevel="1" x14ac:dyDescent="0.25">
      <c r="A140" s="47" t="s">
        <v>480</v>
      </c>
      <c r="B140" s="48" t="s">
        <v>402</v>
      </c>
      <c r="C140" s="49" t="s">
        <v>403</v>
      </c>
      <c r="D140" s="48" t="s">
        <v>76</v>
      </c>
      <c r="E140" s="51">
        <v>0.2</v>
      </c>
      <c r="F140" s="51">
        <v>4.1999999999999997E-3</v>
      </c>
    </row>
    <row r="141" spans="1:7" s="36" customFormat="1" outlineLevel="1" x14ac:dyDescent="0.25">
      <c r="A141" s="47" t="s">
        <v>481</v>
      </c>
      <c r="B141" s="48" t="s">
        <v>375</v>
      </c>
      <c r="C141" s="49" t="s">
        <v>376</v>
      </c>
      <c r="D141" s="48" t="s">
        <v>377</v>
      </c>
      <c r="E141" s="51">
        <v>5.32</v>
      </c>
      <c r="F141" s="51">
        <v>0.11172</v>
      </c>
    </row>
    <row r="142" spans="1:7" s="36" customFormat="1" outlineLevel="1" x14ac:dyDescent="0.25">
      <c r="A142" s="47" t="s">
        <v>482</v>
      </c>
      <c r="B142" s="48" t="s">
        <v>208</v>
      </c>
      <c r="C142" s="49" t="s">
        <v>209</v>
      </c>
      <c r="D142" s="48" t="s">
        <v>210</v>
      </c>
      <c r="E142" s="51">
        <v>18.7</v>
      </c>
      <c r="F142" s="51">
        <v>0.39269999999999999</v>
      </c>
    </row>
    <row r="143" spans="1:7" s="1" customFormat="1" x14ac:dyDescent="0.25">
      <c r="A143" s="18" t="s">
        <v>128</v>
      </c>
      <c r="B143" s="19" t="s">
        <v>483</v>
      </c>
      <c r="C143" s="19" t="s">
        <v>484</v>
      </c>
      <c r="D143" s="20" t="s">
        <v>22</v>
      </c>
      <c r="E143" s="144">
        <v>0.13100000000000001</v>
      </c>
      <c r="F143" s="145"/>
      <c r="G143" s="21"/>
    </row>
    <row r="144" spans="1:7" s="26" customFormat="1" outlineLevel="1" x14ac:dyDescent="0.25">
      <c r="A144" s="22" t="s">
        <v>131</v>
      </c>
      <c r="B144" s="23" t="s">
        <v>19</v>
      </c>
      <c r="C144" s="24" t="s">
        <v>37</v>
      </c>
      <c r="D144" s="23" t="s">
        <v>26</v>
      </c>
      <c r="E144" s="45">
        <v>488</v>
      </c>
      <c r="F144" s="25">
        <v>63.927999999999997</v>
      </c>
    </row>
    <row r="145" spans="1:6" s="36" customFormat="1" outlineLevel="1" x14ac:dyDescent="0.25">
      <c r="A145" s="32" t="s">
        <v>132</v>
      </c>
      <c r="B145" s="33" t="s">
        <v>24</v>
      </c>
      <c r="C145" s="34" t="s">
        <v>25</v>
      </c>
      <c r="D145" s="33" t="s">
        <v>26</v>
      </c>
      <c r="E145" s="35">
        <v>24.71</v>
      </c>
      <c r="F145" s="35">
        <v>3.2370000000000001</v>
      </c>
    </row>
    <row r="146" spans="1:6" s="31" customFormat="1" outlineLevel="1" x14ac:dyDescent="0.25">
      <c r="A146" s="27" t="s">
        <v>485</v>
      </c>
      <c r="B146" s="28" t="s">
        <v>140</v>
      </c>
      <c r="C146" s="29" t="s">
        <v>141</v>
      </c>
      <c r="D146" s="28" t="s">
        <v>30</v>
      </c>
      <c r="E146" s="30">
        <v>19.32</v>
      </c>
      <c r="F146" s="30">
        <v>2.5308999999999999</v>
      </c>
    </row>
    <row r="147" spans="1:6" s="31" customFormat="1" ht="24" outlineLevel="1" x14ac:dyDescent="0.25">
      <c r="A147" s="41" t="s">
        <v>486</v>
      </c>
      <c r="B147" s="42" t="s">
        <v>93</v>
      </c>
      <c r="C147" s="43" t="s">
        <v>94</v>
      </c>
      <c r="D147" s="42" t="s">
        <v>30</v>
      </c>
      <c r="E147" s="44">
        <v>7.54</v>
      </c>
      <c r="F147" s="44">
        <v>0.98773999999999995</v>
      </c>
    </row>
    <row r="148" spans="1:6" s="31" customFormat="1" ht="24" outlineLevel="1" x14ac:dyDescent="0.25">
      <c r="A148" s="41" t="s">
        <v>487</v>
      </c>
      <c r="B148" s="42" t="s">
        <v>143</v>
      </c>
      <c r="C148" s="43" t="s">
        <v>144</v>
      </c>
      <c r="D148" s="42" t="s">
        <v>30</v>
      </c>
      <c r="E148" s="44">
        <v>0.71</v>
      </c>
      <c r="F148" s="44">
        <v>9.3009999999999995E-2</v>
      </c>
    </row>
    <row r="149" spans="1:6" s="31" customFormat="1" ht="24" outlineLevel="1" x14ac:dyDescent="0.25">
      <c r="A149" s="41" t="s">
        <v>488</v>
      </c>
      <c r="B149" s="42" t="s">
        <v>146</v>
      </c>
      <c r="C149" s="43" t="s">
        <v>147</v>
      </c>
      <c r="D149" s="42" t="s">
        <v>30</v>
      </c>
      <c r="E149" s="44">
        <v>9.5</v>
      </c>
      <c r="F149" s="44">
        <v>1.2444999999999999</v>
      </c>
    </row>
    <row r="150" spans="1:6" s="31" customFormat="1" ht="24" outlineLevel="1" x14ac:dyDescent="0.25">
      <c r="A150" s="41" t="s">
        <v>489</v>
      </c>
      <c r="B150" s="42" t="s">
        <v>386</v>
      </c>
      <c r="C150" s="43" t="s">
        <v>387</v>
      </c>
      <c r="D150" s="42" t="s">
        <v>30</v>
      </c>
      <c r="E150" s="44">
        <v>30.16</v>
      </c>
      <c r="F150" s="44">
        <v>3.9510000000000001</v>
      </c>
    </row>
    <row r="151" spans="1:6" s="31" customFormat="1" outlineLevel="1" x14ac:dyDescent="0.25">
      <c r="A151" s="41" t="s">
        <v>490</v>
      </c>
      <c r="B151" s="42" t="s">
        <v>149</v>
      </c>
      <c r="C151" s="43" t="s">
        <v>150</v>
      </c>
      <c r="D151" s="42" t="s">
        <v>30</v>
      </c>
      <c r="E151" s="44">
        <v>4.83</v>
      </c>
      <c r="F151" s="44">
        <v>0.63273000000000001</v>
      </c>
    </row>
    <row r="152" spans="1:6" s="31" customFormat="1" outlineLevel="1" x14ac:dyDescent="0.25">
      <c r="A152" s="41" t="s">
        <v>491</v>
      </c>
      <c r="B152" s="42" t="s">
        <v>152</v>
      </c>
      <c r="C152" s="43" t="s">
        <v>153</v>
      </c>
      <c r="D152" s="42" t="s">
        <v>30</v>
      </c>
      <c r="E152" s="44">
        <v>2.13</v>
      </c>
      <c r="F152" s="44">
        <v>0.27903</v>
      </c>
    </row>
    <row r="153" spans="1:6" s="36" customFormat="1" outlineLevel="1" x14ac:dyDescent="0.25">
      <c r="A153" s="37" t="s">
        <v>492</v>
      </c>
      <c r="B153" s="38" t="s">
        <v>474</v>
      </c>
      <c r="C153" s="39" t="s">
        <v>475</v>
      </c>
      <c r="D153" s="38" t="s">
        <v>76</v>
      </c>
      <c r="E153" s="40">
        <v>101.5</v>
      </c>
      <c r="F153" s="40">
        <v>13.2965</v>
      </c>
    </row>
    <row r="154" spans="1:6" s="36" customFormat="1" outlineLevel="1" x14ac:dyDescent="0.25">
      <c r="A154" s="47" t="s">
        <v>493</v>
      </c>
      <c r="B154" s="48" t="s">
        <v>394</v>
      </c>
      <c r="C154" s="49" t="s">
        <v>395</v>
      </c>
      <c r="D154" s="48" t="s">
        <v>76</v>
      </c>
      <c r="E154" s="51">
        <v>2.4700000000000002</v>
      </c>
      <c r="F154" s="51">
        <v>0.32357000000000002</v>
      </c>
    </row>
    <row r="155" spans="1:6" s="36" customFormat="1" outlineLevel="1" x14ac:dyDescent="0.25">
      <c r="A155" s="47" t="s">
        <v>494</v>
      </c>
      <c r="B155" s="48" t="s">
        <v>235</v>
      </c>
      <c r="C155" s="49" t="s">
        <v>159</v>
      </c>
      <c r="D155" s="48" t="s">
        <v>76</v>
      </c>
      <c r="E155" s="50">
        <v>71</v>
      </c>
      <c r="F155" s="51">
        <v>9.3010000000000002</v>
      </c>
    </row>
    <row r="156" spans="1:6" s="36" customFormat="1" outlineLevel="1" x14ac:dyDescent="0.25">
      <c r="A156" s="47" t="s">
        <v>495</v>
      </c>
      <c r="B156" s="48" t="s">
        <v>161</v>
      </c>
      <c r="C156" s="49" t="s">
        <v>162</v>
      </c>
      <c r="D156" s="48" t="s">
        <v>61</v>
      </c>
      <c r="E156" s="51">
        <v>4.0000000000000001E-3</v>
      </c>
      <c r="F156" s="51">
        <v>5.2400000000000005E-4</v>
      </c>
    </row>
    <row r="157" spans="1:6" s="36" customFormat="1" outlineLevel="1" x14ac:dyDescent="0.25">
      <c r="A157" s="47" t="s">
        <v>496</v>
      </c>
      <c r="B157" s="48" t="s">
        <v>399</v>
      </c>
      <c r="C157" s="49" t="s">
        <v>400</v>
      </c>
      <c r="D157" s="48" t="s">
        <v>61</v>
      </c>
      <c r="E157" s="51">
        <v>8.9999999999999993E-3</v>
      </c>
      <c r="F157" s="51">
        <v>1.1789999999999999E-3</v>
      </c>
    </row>
    <row r="158" spans="1:6" s="36" customFormat="1" ht="24" outlineLevel="1" x14ac:dyDescent="0.25">
      <c r="A158" s="47" t="s">
        <v>497</v>
      </c>
      <c r="B158" s="48" t="s">
        <v>402</v>
      </c>
      <c r="C158" s="49" t="s">
        <v>403</v>
      </c>
      <c r="D158" s="48" t="s">
        <v>76</v>
      </c>
      <c r="E158" s="51">
        <v>0.16</v>
      </c>
      <c r="F158" s="51">
        <v>2.0959999999999999E-2</v>
      </c>
    </row>
    <row r="159" spans="1:6" s="36" customFormat="1" outlineLevel="1" x14ac:dyDescent="0.25">
      <c r="A159" s="47" t="s">
        <v>498</v>
      </c>
      <c r="B159" s="48" t="s">
        <v>375</v>
      </c>
      <c r="C159" s="49" t="s">
        <v>376</v>
      </c>
      <c r="D159" s="48" t="s">
        <v>377</v>
      </c>
      <c r="E159" s="50">
        <v>24</v>
      </c>
      <c r="F159" s="51">
        <v>3.1440000000000001</v>
      </c>
    </row>
    <row r="160" spans="1:6" s="36" customFormat="1" outlineLevel="1" x14ac:dyDescent="0.25">
      <c r="A160" s="47" t="s">
        <v>499</v>
      </c>
      <c r="B160" s="48" t="s">
        <v>208</v>
      </c>
      <c r="C160" s="49" t="s">
        <v>209</v>
      </c>
      <c r="D160" s="48" t="s">
        <v>210</v>
      </c>
      <c r="E160" s="51">
        <v>31.3</v>
      </c>
      <c r="F160" s="51">
        <v>4.1002999999999998</v>
      </c>
    </row>
    <row r="161" spans="1:7" s="1" customFormat="1" x14ac:dyDescent="0.25">
      <c r="A161" s="18" t="s">
        <v>134</v>
      </c>
      <c r="B161" s="19" t="s">
        <v>483</v>
      </c>
      <c r="C161" s="19" t="s">
        <v>484</v>
      </c>
      <c r="D161" s="20" t="s">
        <v>22</v>
      </c>
      <c r="E161" s="144">
        <v>6.5000000000000002E-2</v>
      </c>
      <c r="F161" s="145"/>
      <c r="G161" s="21"/>
    </row>
    <row r="162" spans="1:7" s="26" customFormat="1" outlineLevel="1" x14ac:dyDescent="0.25">
      <c r="A162" s="22" t="s">
        <v>137</v>
      </c>
      <c r="B162" s="23" t="s">
        <v>19</v>
      </c>
      <c r="C162" s="24" t="s">
        <v>37</v>
      </c>
      <c r="D162" s="23" t="s">
        <v>26</v>
      </c>
      <c r="E162" s="45">
        <v>488</v>
      </c>
      <c r="F162" s="25">
        <v>31.72</v>
      </c>
    </row>
    <row r="163" spans="1:7" s="36" customFormat="1" outlineLevel="1" x14ac:dyDescent="0.25">
      <c r="A163" s="32" t="s">
        <v>138</v>
      </c>
      <c r="B163" s="33" t="s">
        <v>24</v>
      </c>
      <c r="C163" s="34" t="s">
        <v>25</v>
      </c>
      <c r="D163" s="33" t="s">
        <v>26</v>
      </c>
      <c r="E163" s="35">
        <v>24.71</v>
      </c>
      <c r="F163" s="35">
        <v>1.6062000000000001</v>
      </c>
    </row>
    <row r="164" spans="1:7" s="31" customFormat="1" outlineLevel="1" x14ac:dyDescent="0.25">
      <c r="A164" s="27" t="s">
        <v>139</v>
      </c>
      <c r="B164" s="28" t="s">
        <v>140</v>
      </c>
      <c r="C164" s="29" t="s">
        <v>141</v>
      </c>
      <c r="D164" s="28" t="s">
        <v>30</v>
      </c>
      <c r="E164" s="30">
        <v>19.32</v>
      </c>
      <c r="F164" s="30">
        <v>1.2558</v>
      </c>
    </row>
    <row r="165" spans="1:7" s="31" customFormat="1" ht="24" outlineLevel="1" x14ac:dyDescent="0.25">
      <c r="A165" s="41" t="s">
        <v>142</v>
      </c>
      <c r="B165" s="42" t="s">
        <v>93</v>
      </c>
      <c r="C165" s="43" t="s">
        <v>94</v>
      </c>
      <c r="D165" s="42" t="s">
        <v>30</v>
      </c>
      <c r="E165" s="44">
        <v>7.54</v>
      </c>
      <c r="F165" s="44">
        <v>0.49009999999999998</v>
      </c>
    </row>
    <row r="166" spans="1:7" s="31" customFormat="1" ht="24" outlineLevel="1" x14ac:dyDescent="0.25">
      <c r="A166" s="41" t="s">
        <v>145</v>
      </c>
      <c r="B166" s="42" t="s">
        <v>143</v>
      </c>
      <c r="C166" s="43" t="s">
        <v>144</v>
      </c>
      <c r="D166" s="42" t="s">
        <v>30</v>
      </c>
      <c r="E166" s="44">
        <v>0.71</v>
      </c>
      <c r="F166" s="44">
        <v>4.6149999999999997E-2</v>
      </c>
    </row>
    <row r="167" spans="1:7" s="31" customFormat="1" ht="24" outlineLevel="1" x14ac:dyDescent="0.25">
      <c r="A167" s="41" t="s">
        <v>148</v>
      </c>
      <c r="B167" s="42" t="s">
        <v>146</v>
      </c>
      <c r="C167" s="43" t="s">
        <v>147</v>
      </c>
      <c r="D167" s="42" t="s">
        <v>30</v>
      </c>
      <c r="E167" s="44">
        <v>9.5</v>
      </c>
      <c r="F167" s="44">
        <v>0.61750000000000005</v>
      </c>
    </row>
    <row r="168" spans="1:7" s="31" customFormat="1" ht="24" outlineLevel="1" x14ac:dyDescent="0.25">
      <c r="A168" s="41" t="s">
        <v>151</v>
      </c>
      <c r="B168" s="42" t="s">
        <v>386</v>
      </c>
      <c r="C168" s="43" t="s">
        <v>387</v>
      </c>
      <c r="D168" s="42" t="s">
        <v>30</v>
      </c>
      <c r="E168" s="44">
        <v>30.16</v>
      </c>
      <c r="F168" s="44">
        <v>1.9603999999999999</v>
      </c>
    </row>
    <row r="169" spans="1:7" s="31" customFormat="1" outlineLevel="1" x14ac:dyDescent="0.25">
      <c r="A169" s="41" t="s">
        <v>154</v>
      </c>
      <c r="B169" s="42" t="s">
        <v>149</v>
      </c>
      <c r="C169" s="43" t="s">
        <v>150</v>
      </c>
      <c r="D169" s="42" t="s">
        <v>30</v>
      </c>
      <c r="E169" s="44">
        <v>4.83</v>
      </c>
      <c r="F169" s="44">
        <v>0.31395000000000001</v>
      </c>
    </row>
    <row r="170" spans="1:7" s="31" customFormat="1" outlineLevel="1" x14ac:dyDescent="0.25">
      <c r="A170" s="41" t="s">
        <v>157</v>
      </c>
      <c r="B170" s="42" t="s">
        <v>152</v>
      </c>
      <c r="C170" s="43" t="s">
        <v>153</v>
      </c>
      <c r="D170" s="42" t="s">
        <v>30</v>
      </c>
      <c r="E170" s="44">
        <v>2.13</v>
      </c>
      <c r="F170" s="44">
        <v>0.13844999999999999</v>
      </c>
    </row>
    <row r="171" spans="1:7" s="36" customFormat="1" outlineLevel="1" x14ac:dyDescent="0.25">
      <c r="A171" s="37" t="s">
        <v>160</v>
      </c>
      <c r="B171" s="38" t="s">
        <v>474</v>
      </c>
      <c r="C171" s="39" t="s">
        <v>475</v>
      </c>
      <c r="D171" s="38" t="s">
        <v>76</v>
      </c>
      <c r="E171" s="40">
        <v>101.5</v>
      </c>
      <c r="F171" s="40">
        <v>6.5975000000000001</v>
      </c>
    </row>
    <row r="172" spans="1:7" s="36" customFormat="1" outlineLevel="1" x14ac:dyDescent="0.25">
      <c r="A172" s="47" t="s">
        <v>163</v>
      </c>
      <c r="B172" s="48" t="s">
        <v>394</v>
      </c>
      <c r="C172" s="49" t="s">
        <v>395</v>
      </c>
      <c r="D172" s="48" t="s">
        <v>76</v>
      </c>
      <c r="E172" s="51">
        <v>2.4700000000000002</v>
      </c>
      <c r="F172" s="51">
        <v>0.16055</v>
      </c>
    </row>
    <row r="173" spans="1:7" s="36" customFormat="1" outlineLevel="1" x14ac:dyDescent="0.25">
      <c r="A173" s="47" t="s">
        <v>167</v>
      </c>
      <c r="B173" s="48" t="s">
        <v>235</v>
      </c>
      <c r="C173" s="49" t="s">
        <v>159</v>
      </c>
      <c r="D173" s="48" t="s">
        <v>76</v>
      </c>
      <c r="E173" s="50">
        <v>71</v>
      </c>
      <c r="F173" s="51">
        <v>4.6150000000000002</v>
      </c>
    </row>
    <row r="174" spans="1:7" s="36" customFormat="1" outlineLevel="1" x14ac:dyDescent="0.25">
      <c r="A174" s="47" t="s">
        <v>500</v>
      </c>
      <c r="B174" s="48" t="s">
        <v>161</v>
      </c>
      <c r="C174" s="49" t="s">
        <v>162</v>
      </c>
      <c r="D174" s="48" t="s">
        <v>61</v>
      </c>
      <c r="E174" s="51">
        <v>4.0000000000000001E-3</v>
      </c>
      <c r="F174" s="51">
        <v>2.5999999999999998E-4</v>
      </c>
    </row>
    <row r="175" spans="1:7" s="36" customFormat="1" outlineLevel="1" x14ac:dyDescent="0.25">
      <c r="A175" s="47" t="s">
        <v>501</v>
      </c>
      <c r="B175" s="48" t="s">
        <v>399</v>
      </c>
      <c r="C175" s="49" t="s">
        <v>400</v>
      </c>
      <c r="D175" s="48" t="s">
        <v>61</v>
      </c>
      <c r="E175" s="51">
        <v>8.9999999999999993E-3</v>
      </c>
      <c r="F175" s="51">
        <v>5.8500000000000002E-4</v>
      </c>
    </row>
    <row r="176" spans="1:7" s="36" customFormat="1" ht="24" outlineLevel="1" x14ac:dyDescent="0.25">
      <c r="A176" s="47" t="s">
        <v>502</v>
      </c>
      <c r="B176" s="48" t="s">
        <v>402</v>
      </c>
      <c r="C176" s="49" t="s">
        <v>403</v>
      </c>
      <c r="D176" s="48" t="s">
        <v>76</v>
      </c>
      <c r="E176" s="51">
        <v>0.16</v>
      </c>
      <c r="F176" s="51">
        <v>1.04E-2</v>
      </c>
    </row>
    <row r="177" spans="1:7" s="36" customFormat="1" outlineLevel="1" x14ac:dyDescent="0.25">
      <c r="A177" s="47" t="s">
        <v>503</v>
      </c>
      <c r="B177" s="48" t="s">
        <v>375</v>
      </c>
      <c r="C177" s="49" t="s">
        <v>376</v>
      </c>
      <c r="D177" s="48" t="s">
        <v>377</v>
      </c>
      <c r="E177" s="50">
        <v>24</v>
      </c>
      <c r="F177" s="51">
        <v>1.56</v>
      </c>
    </row>
    <row r="178" spans="1:7" s="36" customFormat="1" outlineLevel="1" x14ac:dyDescent="0.25">
      <c r="A178" s="47" t="s">
        <v>504</v>
      </c>
      <c r="B178" s="48" t="s">
        <v>208</v>
      </c>
      <c r="C178" s="49" t="s">
        <v>209</v>
      </c>
      <c r="D178" s="48" t="s">
        <v>210</v>
      </c>
      <c r="E178" s="51">
        <v>31.3</v>
      </c>
      <c r="F178" s="51">
        <v>2.0345</v>
      </c>
    </row>
    <row r="179" spans="1:7" s="1" customFormat="1" x14ac:dyDescent="0.25">
      <c r="A179" s="18" t="s">
        <v>170</v>
      </c>
      <c r="B179" s="19" t="s">
        <v>505</v>
      </c>
      <c r="C179" s="19" t="s">
        <v>506</v>
      </c>
      <c r="D179" s="20" t="s">
        <v>507</v>
      </c>
      <c r="E179" s="144">
        <v>0.56000000000000005</v>
      </c>
      <c r="F179" s="145"/>
      <c r="G179" s="21"/>
    </row>
    <row r="180" spans="1:7" s="26" customFormat="1" outlineLevel="1" x14ac:dyDescent="0.25">
      <c r="A180" s="22" t="s">
        <v>173</v>
      </c>
      <c r="B180" s="23" t="s">
        <v>19</v>
      </c>
      <c r="C180" s="24" t="s">
        <v>37</v>
      </c>
      <c r="D180" s="23" t="s">
        <v>26</v>
      </c>
      <c r="E180" s="25">
        <v>15.14</v>
      </c>
      <c r="F180" s="25">
        <v>8.4784000000000006</v>
      </c>
    </row>
    <row r="181" spans="1:7" s="36" customFormat="1" outlineLevel="1" x14ac:dyDescent="0.25">
      <c r="A181" s="32" t="s">
        <v>174</v>
      </c>
      <c r="B181" s="33" t="s">
        <v>24</v>
      </c>
      <c r="C181" s="34" t="s">
        <v>25</v>
      </c>
      <c r="D181" s="33" t="s">
        <v>26</v>
      </c>
      <c r="E181" s="35">
        <v>7.05</v>
      </c>
      <c r="F181" s="35">
        <v>3.948</v>
      </c>
    </row>
    <row r="182" spans="1:7" s="31" customFormat="1" outlineLevel="1" x14ac:dyDescent="0.25">
      <c r="A182" s="27" t="s">
        <v>175</v>
      </c>
      <c r="B182" s="28" t="s">
        <v>140</v>
      </c>
      <c r="C182" s="29" t="s">
        <v>141</v>
      </c>
      <c r="D182" s="28" t="s">
        <v>30</v>
      </c>
      <c r="E182" s="30">
        <v>8.8699999999999992</v>
      </c>
      <c r="F182" s="30">
        <v>4.9672000000000001</v>
      </c>
    </row>
    <row r="183" spans="1:7" s="31" customFormat="1" ht="24" outlineLevel="1" x14ac:dyDescent="0.25">
      <c r="A183" s="41" t="s">
        <v>176</v>
      </c>
      <c r="B183" s="42" t="s">
        <v>143</v>
      </c>
      <c r="C183" s="43" t="s">
        <v>144</v>
      </c>
      <c r="D183" s="42" t="s">
        <v>30</v>
      </c>
      <c r="E183" s="44">
        <v>2.46</v>
      </c>
      <c r="F183" s="44">
        <v>1.3775999999999999</v>
      </c>
    </row>
    <row r="184" spans="1:7" s="31" customFormat="1" outlineLevel="1" x14ac:dyDescent="0.25">
      <c r="A184" s="41" t="s">
        <v>508</v>
      </c>
      <c r="B184" s="42" t="s">
        <v>509</v>
      </c>
      <c r="C184" s="43" t="s">
        <v>150</v>
      </c>
      <c r="D184" s="42" t="s">
        <v>30</v>
      </c>
      <c r="E184" s="44">
        <v>4.4400000000000004</v>
      </c>
      <c r="F184" s="44">
        <v>2.4864000000000002</v>
      </c>
    </row>
    <row r="185" spans="1:7" s="31" customFormat="1" outlineLevel="1" x14ac:dyDescent="0.25">
      <c r="A185" s="41" t="s">
        <v>510</v>
      </c>
      <c r="B185" s="42" t="s">
        <v>152</v>
      </c>
      <c r="C185" s="43" t="s">
        <v>153</v>
      </c>
      <c r="D185" s="42" t="s">
        <v>30</v>
      </c>
      <c r="E185" s="44">
        <v>0.15</v>
      </c>
      <c r="F185" s="44">
        <v>8.4000000000000005E-2</v>
      </c>
    </row>
    <row r="186" spans="1:7" s="36" customFormat="1" outlineLevel="1" x14ac:dyDescent="0.25">
      <c r="A186" s="37" t="s">
        <v>511</v>
      </c>
      <c r="B186" s="38" t="s">
        <v>158</v>
      </c>
      <c r="C186" s="39" t="s">
        <v>159</v>
      </c>
      <c r="D186" s="38" t="s">
        <v>76</v>
      </c>
      <c r="E186" s="40">
        <v>0.12</v>
      </c>
      <c r="F186" s="40">
        <v>6.7199999999999996E-2</v>
      </c>
    </row>
    <row r="187" spans="1:7" s="36" customFormat="1" outlineLevel="1" x14ac:dyDescent="0.25">
      <c r="A187" s="47" t="s">
        <v>512</v>
      </c>
      <c r="B187" s="48" t="s">
        <v>513</v>
      </c>
      <c r="C187" s="49" t="s">
        <v>514</v>
      </c>
      <c r="D187" s="48" t="s">
        <v>76</v>
      </c>
      <c r="E187" s="51">
        <v>10.199999999999999</v>
      </c>
      <c r="F187" s="51">
        <v>5.7119999999999997</v>
      </c>
    </row>
    <row r="188" spans="1:7" s="36" customFormat="1" outlineLevel="1" x14ac:dyDescent="0.25">
      <c r="A188" s="47" t="s">
        <v>515</v>
      </c>
      <c r="B188" s="48" t="s">
        <v>161</v>
      </c>
      <c r="C188" s="49" t="s">
        <v>162</v>
      </c>
      <c r="D188" s="48" t="s">
        <v>61</v>
      </c>
      <c r="E188" s="51">
        <v>3.0000000000000001E-3</v>
      </c>
      <c r="F188" s="51">
        <v>1.6800000000000001E-3</v>
      </c>
    </row>
    <row r="189" spans="1:7" s="36" customFormat="1" outlineLevel="1" x14ac:dyDescent="0.25">
      <c r="A189" s="47" t="s">
        <v>516</v>
      </c>
      <c r="B189" s="48" t="s">
        <v>517</v>
      </c>
      <c r="C189" s="49" t="s">
        <v>518</v>
      </c>
      <c r="D189" s="48" t="s">
        <v>210</v>
      </c>
      <c r="E189" s="51">
        <v>17.8</v>
      </c>
      <c r="F189" s="51">
        <v>9.968</v>
      </c>
    </row>
    <row r="190" spans="1:7" s="36" customFormat="1" ht="24" outlineLevel="1" x14ac:dyDescent="0.25">
      <c r="A190" s="47" t="s">
        <v>519</v>
      </c>
      <c r="B190" s="48" t="s">
        <v>520</v>
      </c>
      <c r="C190" s="49" t="s">
        <v>521</v>
      </c>
      <c r="D190" s="48" t="s">
        <v>76</v>
      </c>
      <c r="E190" s="51">
        <v>0.22</v>
      </c>
      <c r="F190" s="51">
        <v>0.1232</v>
      </c>
    </row>
    <row r="191" spans="1:7" s="1" customFormat="1" x14ac:dyDescent="0.25">
      <c r="A191" s="18" t="s">
        <v>177</v>
      </c>
      <c r="B191" s="19" t="s">
        <v>522</v>
      </c>
      <c r="C191" s="19" t="s">
        <v>523</v>
      </c>
      <c r="D191" s="20" t="s">
        <v>22</v>
      </c>
      <c r="E191" s="144">
        <v>0.16700000000000001</v>
      </c>
      <c r="F191" s="145"/>
      <c r="G191" s="21"/>
    </row>
    <row r="192" spans="1:7" s="26" customFormat="1" outlineLevel="1" x14ac:dyDescent="0.25">
      <c r="A192" s="22" t="s">
        <v>524</v>
      </c>
      <c r="B192" s="23" t="s">
        <v>19</v>
      </c>
      <c r="C192" s="24" t="s">
        <v>37</v>
      </c>
      <c r="D192" s="23" t="s">
        <v>26</v>
      </c>
      <c r="E192" s="45">
        <v>564</v>
      </c>
      <c r="F192" s="25">
        <v>94.188000000000002</v>
      </c>
    </row>
    <row r="193" spans="1:7" s="36" customFormat="1" outlineLevel="1" x14ac:dyDescent="0.25">
      <c r="A193" s="32" t="s">
        <v>525</v>
      </c>
      <c r="B193" s="33" t="s">
        <v>24</v>
      </c>
      <c r="C193" s="34" t="s">
        <v>25</v>
      </c>
      <c r="D193" s="33" t="s">
        <v>26</v>
      </c>
      <c r="E193" s="35">
        <v>126.2</v>
      </c>
      <c r="F193" s="35">
        <v>21.075399999999998</v>
      </c>
    </row>
    <row r="194" spans="1:7" s="31" customFormat="1" ht="24" outlineLevel="1" x14ac:dyDescent="0.25">
      <c r="A194" s="27" t="s">
        <v>526</v>
      </c>
      <c r="B194" s="28" t="s">
        <v>454</v>
      </c>
      <c r="C194" s="29" t="s">
        <v>455</v>
      </c>
      <c r="D194" s="28" t="s">
        <v>30</v>
      </c>
      <c r="E194" s="100">
        <v>5</v>
      </c>
      <c r="F194" s="30">
        <v>0.83499999999999996</v>
      </c>
    </row>
    <row r="195" spans="1:7" s="31" customFormat="1" ht="24" outlineLevel="1" x14ac:dyDescent="0.25">
      <c r="A195" s="41" t="s">
        <v>527</v>
      </c>
      <c r="B195" s="42" t="s">
        <v>143</v>
      </c>
      <c r="C195" s="43" t="s">
        <v>144</v>
      </c>
      <c r="D195" s="42" t="s">
        <v>30</v>
      </c>
      <c r="E195" s="44">
        <v>2.6</v>
      </c>
      <c r="F195" s="44">
        <v>0.43419999999999997</v>
      </c>
    </row>
    <row r="196" spans="1:7" s="31" customFormat="1" ht="24" outlineLevel="1" x14ac:dyDescent="0.25">
      <c r="A196" s="41" t="s">
        <v>528</v>
      </c>
      <c r="B196" s="42" t="s">
        <v>146</v>
      </c>
      <c r="C196" s="43" t="s">
        <v>147</v>
      </c>
      <c r="D196" s="42" t="s">
        <v>30</v>
      </c>
      <c r="E196" s="44">
        <v>115.8</v>
      </c>
      <c r="F196" s="44">
        <v>19.3386</v>
      </c>
    </row>
    <row r="197" spans="1:7" s="31" customFormat="1" outlineLevel="1" x14ac:dyDescent="0.25">
      <c r="A197" s="41" t="s">
        <v>529</v>
      </c>
      <c r="B197" s="42" t="s">
        <v>530</v>
      </c>
      <c r="C197" s="43" t="s">
        <v>531</v>
      </c>
      <c r="D197" s="42" t="s">
        <v>30</v>
      </c>
      <c r="E197" s="44">
        <v>1.43</v>
      </c>
      <c r="F197" s="44">
        <v>0.23880999999999999</v>
      </c>
    </row>
    <row r="198" spans="1:7" s="31" customFormat="1" outlineLevel="1" x14ac:dyDescent="0.25">
      <c r="A198" s="41" t="s">
        <v>532</v>
      </c>
      <c r="B198" s="42" t="s">
        <v>152</v>
      </c>
      <c r="C198" s="43" t="s">
        <v>153</v>
      </c>
      <c r="D198" s="42" t="s">
        <v>30</v>
      </c>
      <c r="E198" s="44">
        <v>7.8</v>
      </c>
      <c r="F198" s="44">
        <v>1.3026</v>
      </c>
    </row>
    <row r="199" spans="1:7" s="36" customFormat="1" outlineLevel="1" x14ac:dyDescent="0.25">
      <c r="A199" s="37" t="s">
        <v>533</v>
      </c>
      <c r="B199" s="38" t="s">
        <v>394</v>
      </c>
      <c r="C199" s="39" t="s">
        <v>395</v>
      </c>
      <c r="D199" s="38" t="s">
        <v>76</v>
      </c>
      <c r="E199" s="40">
        <v>14.9</v>
      </c>
      <c r="F199" s="40">
        <v>2.4883000000000002</v>
      </c>
    </row>
    <row r="200" spans="1:7" s="36" customFormat="1" outlineLevel="1" x14ac:dyDescent="0.25">
      <c r="A200" s="47" t="s">
        <v>534</v>
      </c>
      <c r="B200" s="48" t="s">
        <v>535</v>
      </c>
      <c r="C200" s="49" t="s">
        <v>536</v>
      </c>
      <c r="D200" s="48" t="s">
        <v>61</v>
      </c>
      <c r="E200" s="51">
        <v>0.11</v>
      </c>
      <c r="F200" s="51">
        <v>1.8370000000000001E-2</v>
      </c>
    </row>
    <row r="201" spans="1:7" s="36" customFormat="1" outlineLevel="1" x14ac:dyDescent="0.25">
      <c r="A201" s="47" t="s">
        <v>537</v>
      </c>
      <c r="B201" s="48" t="s">
        <v>399</v>
      </c>
      <c r="C201" s="49" t="s">
        <v>400</v>
      </c>
      <c r="D201" s="48" t="s">
        <v>61</v>
      </c>
      <c r="E201" s="51">
        <v>1.4E-2</v>
      </c>
      <c r="F201" s="51">
        <v>2.3379999999999998E-3</v>
      </c>
    </row>
    <row r="202" spans="1:7" s="36" customFormat="1" outlineLevel="1" x14ac:dyDescent="0.25">
      <c r="A202" s="47" t="s">
        <v>538</v>
      </c>
      <c r="B202" s="48" t="s">
        <v>459</v>
      </c>
      <c r="C202" s="49" t="s">
        <v>460</v>
      </c>
      <c r="D202" s="48" t="s">
        <v>61</v>
      </c>
      <c r="E202" s="51">
        <v>1E-3</v>
      </c>
      <c r="F202" s="51">
        <v>1.6699999999999999E-4</v>
      </c>
    </row>
    <row r="203" spans="1:7" s="36" customFormat="1" outlineLevel="1" x14ac:dyDescent="0.25">
      <c r="A203" s="47" t="s">
        <v>539</v>
      </c>
      <c r="B203" s="48" t="s">
        <v>220</v>
      </c>
      <c r="C203" s="49" t="s">
        <v>221</v>
      </c>
      <c r="D203" s="48" t="s">
        <v>61</v>
      </c>
      <c r="E203" s="51">
        <v>1E-3</v>
      </c>
      <c r="F203" s="51">
        <v>1.6699999999999999E-4</v>
      </c>
    </row>
    <row r="204" spans="1:7" s="36" customFormat="1" outlineLevel="1" x14ac:dyDescent="0.25">
      <c r="A204" s="47" t="s">
        <v>540</v>
      </c>
      <c r="B204" s="48" t="s">
        <v>541</v>
      </c>
      <c r="C204" s="49" t="s">
        <v>542</v>
      </c>
      <c r="D204" s="48" t="s">
        <v>166</v>
      </c>
      <c r="E204" s="50">
        <v>38</v>
      </c>
      <c r="F204" s="51">
        <v>6.3460000000000001</v>
      </c>
    </row>
    <row r="205" spans="1:7" s="36" customFormat="1" outlineLevel="1" x14ac:dyDescent="0.25">
      <c r="A205" s="47" t="s">
        <v>543</v>
      </c>
      <c r="B205" s="48" t="s">
        <v>544</v>
      </c>
      <c r="C205" s="49" t="s">
        <v>545</v>
      </c>
      <c r="D205" s="48" t="s">
        <v>61</v>
      </c>
      <c r="E205" s="51">
        <v>1.4999999999999999E-2</v>
      </c>
      <c r="F205" s="51">
        <v>2.5049999999999998E-3</v>
      </c>
    </row>
    <row r="206" spans="1:7" s="1" customFormat="1" x14ac:dyDescent="0.25">
      <c r="A206" s="18" t="s">
        <v>180</v>
      </c>
      <c r="B206" s="19" t="s">
        <v>462</v>
      </c>
      <c r="C206" s="19" t="s">
        <v>546</v>
      </c>
      <c r="D206" s="20" t="s">
        <v>547</v>
      </c>
      <c r="E206" s="187">
        <v>14</v>
      </c>
      <c r="F206" s="188"/>
      <c r="G206" s="21"/>
    </row>
    <row r="207" spans="1:7" s="1" customFormat="1" x14ac:dyDescent="0.25">
      <c r="A207" s="18" t="s">
        <v>183</v>
      </c>
      <c r="B207" s="19" t="s">
        <v>522</v>
      </c>
      <c r="C207" s="19" t="s">
        <v>523</v>
      </c>
      <c r="D207" s="20" t="s">
        <v>22</v>
      </c>
      <c r="E207" s="144">
        <v>7.3999999999999996E-2</v>
      </c>
      <c r="F207" s="145"/>
      <c r="G207" s="21"/>
    </row>
    <row r="208" spans="1:7" s="26" customFormat="1" outlineLevel="1" x14ac:dyDescent="0.25">
      <c r="A208" s="22" t="s">
        <v>184</v>
      </c>
      <c r="B208" s="23" t="s">
        <v>19</v>
      </c>
      <c r="C208" s="24" t="s">
        <v>37</v>
      </c>
      <c r="D208" s="23" t="s">
        <v>26</v>
      </c>
      <c r="E208" s="45">
        <v>564</v>
      </c>
      <c r="F208" s="25">
        <v>41.735999999999997</v>
      </c>
    </row>
    <row r="209" spans="1:7" s="36" customFormat="1" outlineLevel="1" x14ac:dyDescent="0.25">
      <c r="A209" s="32" t="s">
        <v>185</v>
      </c>
      <c r="B209" s="33" t="s">
        <v>24</v>
      </c>
      <c r="C209" s="34" t="s">
        <v>25</v>
      </c>
      <c r="D209" s="33" t="s">
        <v>26</v>
      </c>
      <c r="E209" s="35">
        <v>126.2</v>
      </c>
      <c r="F209" s="35">
        <v>9.3388000000000009</v>
      </c>
    </row>
    <row r="210" spans="1:7" s="31" customFormat="1" ht="24" outlineLevel="1" x14ac:dyDescent="0.25">
      <c r="A210" s="27" t="s">
        <v>186</v>
      </c>
      <c r="B210" s="28" t="s">
        <v>454</v>
      </c>
      <c r="C210" s="29" t="s">
        <v>455</v>
      </c>
      <c r="D210" s="28" t="s">
        <v>30</v>
      </c>
      <c r="E210" s="100">
        <v>5</v>
      </c>
      <c r="F210" s="30">
        <v>0.37</v>
      </c>
    </row>
    <row r="211" spans="1:7" s="31" customFormat="1" ht="24" outlineLevel="1" x14ac:dyDescent="0.25">
      <c r="A211" s="41" t="s">
        <v>189</v>
      </c>
      <c r="B211" s="42" t="s">
        <v>143</v>
      </c>
      <c r="C211" s="43" t="s">
        <v>144</v>
      </c>
      <c r="D211" s="42" t="s">
        <v>30</v>
      </c>
      <c r="E211" s="44">
        <v>2.6</v>
      </c>
      <c r="F211" s="44">
        <v>0.19239999999999999</v>
      </c>
    </row>
    <row r="212" spans="1:7" s="31" customFormat="1" ht="24" outlineLevel="1" x14ac:dyDescent="0.25">
      <c r="A212" s="41" t="s">
        <v>192</v>
      </c>
      <c r="B212" s="42" t="s">
        <v>146</v>
      </c>
      <c r="C212" s="43" t="s">
        <v>147</v>
      </c>
      <c r="D212" s="42" t="s">
        <v>30</v>
      </c>
      <c r="E212" s="44">
        <v>115.8</v>
      </c>
      <c r="F212" s="44">
        <v>8.5692000000000004</v>
      </c>
    </row>
    <row r="213" spans="1:7" s="31" customFormat="1" outlineLevel="1" x14ac:dyDescent="0.25">
      <c r="A213" s="41" t="s">
        <v>193</v>
      </c>
      <c r="B213" s="42" t="s">
        <v>530</v>
      </c>
      <c r="C213" s="43" t="s">
        <v>531</v>
      </c>
      <c r="D213" s="42" t="s">
        <v>30</v>
      </c>
      <c r="E213" s="44">
        <v>1.43</v>
      </c>
      <c r="F213" s="44">
        <v>0.10582</v>
      </c>
    </row>
    <row r="214" spans="1:7" s="31" customFormat="1" outlineLevel="1" x14ac:dyDescent="0.25">
      <c r="A214" s="41" t="s">
        <v>194</v>
      </c>
      <c r="B214" s="42" t="s">
        <v>152</v>
      </c>
      <c r="C214" s="43" t="s">
        <v>153</v>
      </c>
      <c r="D214" s="42" t="s">
        <v>30</v>
      </c>
      <c r="E214" s="44">
        <v>7.8</v>
      </c>
      <c r="F214" s="44">
        <v>0.57720000000000005</v>
      </c>
    </row>
    <row r="215" spans="1:7" s="36" customFormat="1" outlineLevel="1" x14ac:dyDescent="0.25">
      <c r="A215" s="37" t="s">
        <v>195</v>
      </c>
      <c r="B215" s="38" t="s">
        <v>394</v>
      </c>
      <c r="C215" s="39" t="s">
        <v>395</v>
      </c>
      <c r="D215" s="38" t="s">
        <v>76</v>
      </c>
      <c r="E215" s="40">
        <v>14.9</v>
      </c>
      <c r="F215" s="40">
        <v>1.1026</v>
      </c>
    </row>
    <row r="216" spans="1:7" s="36" customFormat="1" outlineLevel="1" x14ac:dyDescent="0.25">
      <c r="A216" s="47" t="s">
        <v>196</v>
      </c>
      <c r="B216" s="48" t="s">
        <v>535</v>
      </c>
      <c r="C216" s="49" t="s">
        <v>536</v>
      </c>
      <c r="D216" s="48" t="s">
        <v>61</v>
      </c>
      <c r="E216" s="51">
        <v>0.11</v>
      </c>
      <c r="F216" s="51">
        <v>8.1399999999999997E-3</v>
      </c>
    </row>
    <row r="217" spans="1:7" s="36" customFormat="1" outlineLevel="1" x14ac:dyDescent="0.25">
      <c r="A217" s="47" t="s">
        <v>197</v>
      </c>
      <c r="B217" s="48" t="s">
        <v>399</v>
      </c>
      <c r="C217" s="49" t="s">
        <v>400</v>
      </c>
      <c r="D217" s="48" t="s">
        <v>61</v>
      </c>
      <c r="E217" s="51">
        <v>1.4E-2</v>
      </c>
      <c r="F217" s="51">
        <v>1.036E-3</v>
      </c>
    </row>
    <row r="218" spans="1:7" s="36" customFormat="1" outlineLevel="1" x14ac:dyDescent="0.25">
      <c r="A218" s="47" t="s">
        <v>198</v>
      </c>
      <c r="B218" s="48" t="s">
        <v>459</v>
      </c>
      <c r="C218" s="49" t="s">
        <v>460</v>
      </c>
      <c r="D218" s="48" t="s">
        <v>61</v>
      </c>
      <c r="E218" s="51">
        <v>1E-3</v>
      </c>
      <c r="F218" s="51">
        <v>7.3999999999999996E-5</v>
      </c>
    </row>
    <row r="219" spans="1:7" s="36" customFormat="1" outlineLevel="1" x14ac:dyDescent="0.25">
      <c r="A219" s="47" t="s">
        <v>199</v>
      </c>
      <c r="B219" s="48" t="s">
        <v>220</v>
      </c>
      <c r="C219" s="49" t="s">
        <v>221</v>
      </c>
      <c r="D219" s="48" t="s">
        <v>61</v>
      </c>
      <c r="E219" s="51">
        <v>1E-3</v>
      </c>
      <c r="F219" s="51">
        <v>7.3999999999999996E-5</v>
      </c>
    </row>
    <row r="220" spans="1:7" s="36" customFormat="1" outlineLevel="1" x14ac:dyDescent="0.25">
      <c r="A220" s="47" t="s">
        <v>202</v>
      </c>
      <c r="B220" s="48" t="s">
        <v>541</v>
      </c>
      <c r="C220" s="49" t="s">
        <v>542</v>
      </c>
      <c r="D220" s="48" t="s">
        <v>166</v>
      </c>
      <c r="E220" s="50">
        <v>38</v>
      </c>
      <c r="F220" s="51">
        <v>2.8119999999999998</v>
      </c>
    </row>
    <row r="221" spans="1:7" s="36" customFormat="1" outlineLevel="1" x14ac:dyDescent="0.25">
      <c r="A221" s="47" t="s">
        <v>205</v>
      </c>
      <c r="B221" s="48" t="s">
        <v>544</v>
      </c>
      <c r="C221" s="49" t="s">
        <v>545</v>
      </c>
      <c r="D221" s="48" t="s">
        <v>61</v>
      </c>
      <c r="E221" s="51">
        <v>1.4999999999999999E-2</v>
      </c>
      <c r="F221" s="51">
        <v>1.1100000000000001E-3</v>
      </c>
    </row>
    <row r="222" spans="1:7" s="1" customFormat="1" x14ac:dyDescent="0.25">
      <c r="A222" s="18" t="s">
        <v>211</v>
      </c>
      <c r="B222" s="19" t="s">
        <v>462</v>
      </c>
      <c r="C222" s="19" t="s">
        <v>548</v>
      </c>
      <c r="D222" s="20" t="s">
        <v>547</v>
      </c>
      <c r="E222" s="187">
        <v>4</v>
      </c>
      <c r="F222" s="188"/>
      <c r="G222" s="21"/>
    </row>
    <row r="223" spans="1:7" s="1" customFormat="1" x14ac:dyDescent="0.25">
      <c r="A223" s="18" t="s">
        <v>222</v>
      </c>
      <c r="B223" s="19" t="s">
        <v>549</v>
      </c>
      <c r="C223" s="19" t="s">
        <v>550</v>
      </c>
      <c r="D223" s="20" t="s">
        <v>551</v>
      </c>
      <c r="E223" s="144">
        <v>0.16</v>
      </c>
      <c r="F223" s="145"/>
      <c r="G223" s="21"/>
    </row>
    <row r="224" spans="1:7" s="26" customFormat="1" outlineLevel="1" x14ac:dyDescent="0.25">
      <c r="A224" s="22" t="s">
        <v>552</v>
      </c>
      <c r="B224" s="23" t="s">
        <v>19</v>
      </c>
      <c r="C224" s="24" t="s">
        <v>37</v>
      </c>
      <c r="D224" s="23" t="s">
        <v>26</v>
      </c>
      <c r="E224" s="45">
        <v>64</v>
      </c>
      <c r="F224" s="25">
        <v>10.24</v>
      </c>
    </row>
    <row r="225" spans="1:7" s="36" customFormat="1" outlineLevel="1" x14ac:dyDescent="0.25">
      <c r="A225" s="32" t="s">
        <v>553</v>
      </c>
      <c r="B225" s="33" t="s">
        <v>24</v>
      </c>
      <c r="C225" s="34" t="s">
        <v>25</v>
      </c>
      <c r="D225" s="33" t="s">
        <v>26</v>
      </c>
      <c r="E225" s="99">
        <v>19</v>
      </c>
      <c r="F225" s="35">
        <v>3.04</v>
      </c>
    </row>
    <row r="226" spans="1:7" s="31" customFormat="1" ht="24" outlineLevel="1" x14ac:dyDescent="0.25">
      <c r="A226" s="27" t="s">
        <v>554</v>
      </c>
      <c r="B226" s="28" t="s">
        <v>143</v>
      </c>
      <c r="C226" s="29" t="s">
        <v>144</v>
      </c>
      <c r="D226" s="28" t="s">
        <v>30</v>
      </c>
      <c r="E226" s="100">
        <v>12</v>
      </c>
      <c r="F226" s="30">
        <v>1.92</v>
      </c>
    </row>
    <row r="227" spans="1:7" s="31" customFormat="1" outlineLevel="1" x14ac:dyDescent="0.25">
      <c r="A227" s="41" t="s">
        <v>555</v>
      </c>
      <c r="B227" s="42" t="s">
        <v>556</v>
      </c>
      <c r="C227" s="43" t="s">
        <v>557</v>
      </c>
      <c r="D227" s="42" t="s">
        <v>30</v>
      </c>
      <c r="E227" s="101">
        <v>7</v>
      </c>
      <c r="F227" s="44">
        <v>1.1200000000000001</v>
      </c>
    </row>
    <row r="228" spans="1:7" s="36" customFormat="1" outlineLevel="1" x14ac:dyDescent="0.25">
      <c r="A228" s="37" t="s">
        <v>558</v>
      </c>
      <c r="B228" s="38" t="s">
        <v>559</v>
      </c>
      <c r="C228" s="39" t="s">
        <v>560</v>
      </c>
      <c r="D228" s="38" t="s">
        <v>61</v>
      </c>
      <c r="E228" s="40">
        <v>8.1200000000000005E-3</v>
      </c>
      <c r="F228" s="40">
        <v>1.2991999999999999E-3</v>
      </c>
    </row>
    <row r="229" spans="1:7" s="36" customFormat="1" outlineLevel="1" x14ac:dyDescent="0.25">
      <c r="A229" s="47" t="s">
        <v>561</v>
      </c>
      <c r="B229" s="48" t="s">
        <v>562</v>
      </c>
      <c r="C229" s="49" t="s">
        <v>563</v>
      </c>
      <c r="D229" s="48" t="s">
        <v>61</v>
      </c>
      <c r="E229" s="51">
        <v>2.784E-2</v>
      </c>
      <c r="F229" s="51">
        <v>4.4543999999999999E-3</v>
      </c>
    </row>
    <row r="230" spans="1:7" s="36" customFormat="1" ht="24" outlineLevel="1" x14ac:dyDescent="0.25">
      <c r="A230" s="47" t="s">
        <v>564</v>
      </c>
      <c r="B230" s="48" t="s">
        <v>565</v>
      </c>
      <c r="C230" s="49" t="s">
        <v>566</v>
      </c>
      <c r="D230" s="48" t="s">
        <v>61</v>
      </c>
      <c r="E230" s="51">
        <v>5.5000000000000003E-4</v>
      </c>
      <c r="F230" s="51">
        <v>8.7999999999999998E-5</v>
      </c>
    </row>
    <row r="231" spans="1:7" s="36" customFormat="1" outlineLevel="1" x14ac:dyDescent="0.25">
      <c r="A231" s="47" t="s">
        <v>567</v>
      </c>
      <c r="B231" s="48" t="s">
        <v>568</v>
      </c>
      <c r="C231" s="49" t="s">
        <v>569</v>
      </c>
      <c r="D231" s="48" t="s">
        <v>61</v>
      </c>
      <c r="E231" s="51">
        <v>3.5999999999999999E-3</v>
      </c>
      <c r="F231" s="51">
        <v>5.7600000000000001E-4</v>
      </c>
    </row>
    <row r="232" spans="1:7" s="36" customFormat="1" outlineLevel="1" x14ac:dyDescent="0.25">
      <c r="A232" s="47" t="s">
        <v>570</v>
      </c>
      <c r="B232" s="48" t="s">
        <v>571</v>
      </c>
      <c r="C232" s="49" t="s">
        <v>572</v>
      </c>
      <c r="D232" s="48" t="s">
        <v>547</v>
      </c>
      <c r="E232" s="50">
        <v>100</v>
      </c>
      <c r="F232" s="50">
        <v>16</v>
      </c>
    </row>
    <row r="233" spans="1:7" s="1" customFormat="1" ht="12.75" customHeight="1" x14ac:dyDescent="0.25">
      <c r="A233" s="15"/>
      <c r="B233" s="16"/>
      <c r="C233" s="143" t="s">
        <v>573</v>
      </c>
      <c r="D233" s="143"/>
      <c r="E233" s="16"/>
      <c r="F233" s="17"/>
    </row>
    <row r="234" spans="1:7" s="1" customFormat="1" ht="12.75" customHeight="1" x14ac:dyDescent="0.25">
      <c r="A234" s="15"/>
      <c r="B234" s="16"/>
      <c r="C234" s="16"/>
      <c r="D234" s="143" t="s">
        <v>574</v>
      </c>
      <c r="E234" s="143"/>
      <c r="F234" s="189"/>
    </row>
    <row r="235" spans="1:7" s="1" customFormat="1" ht="25.5" x14ac:dyDescent="0.25">
      <c r="A235" s="18" t="s">
        <v>223</v>
      </c>
      <c r="B235" s="19" t="s">
        <v>575</v>
      </c>
      <c r="C235" s="19" t="s">
        <v>576</v>
      </c>
      <c r="D235" s="20" t="s">
        <v>61</v>
      </c>
      <c r="E235" s="144">
        <v>0.66700000000000004</v>
      </c>
      <c r="F235" s="145"/>
      <c r="G235" s="21"/>
    </row>
    <row r="236" spans="1:7" s="26" customFormat="1" outlineLevel="1" x14ac:dyDescent="0.25">
      <c r="A236" s="22" t="s">
        <v>577</v>
      </c>
      <c r="B236" s="23" t="s">
        <v>19</v>
      </c>
      <c r="C236" s="24" t="s">
        <v>37</v>
      </c>
      <c r="D236" s="23" t="s">
        <v>26</v>
      </c>
      <c r="E236" s="45">
        <v>161</v>
      </c>
      <c r="F236" s="25">
        <v>107.387</v>
      </c>
    </row>
    <row r="237" spans="1:7" s="36" customFormat="1" outlineLevel="1" x14ac:dyDescent="0.25">
      <c r="A237" s="32" t="s">
        <v>578</v>
      </c>
      <c r="B237" s="33" t="s">
        <v>24</v>
      </c>
      <c r="C237" s="34" t="s">
        <v>25</v>
      </c>
      <c r="D237" s="33" t="s">
        <v>26</v>
      </c>
      <c r="E237" s="35">
        <v>34.020000000000003</v>
      </c>
      <c r="F237" s="35">
        <v>22.691299999999998</v>
      </c>
    </row>
    <row r="238" spans="1:7" s="31" customFormat="1" ht="24" outlineLevel="1" x14ac:dyDescent="0.25">
      <c r="A238" s="27" t="s">
        <v>579</v>
      </c>
      <c r="B238" s="28" t="s">
        <v>93</v>
      </c>
      <c r="C238" s="29" t="s">
        <v>94</v>
      </c>
      <c r="D238" s="28" t="s">
        <v>30</v>
      </c>
      <c r="E238" s="30">
        <v>0.92</v>
      </c>
      <c r="F238" s="30">
        <v>0.61363999999999996</v>
      </c>
    </row>
    <row r="239" spans="1:7" s="31" customFormat="1" ht="24" outlineLevel="1" x14ac:dyDescent="0.25">
      <c r="A239" s="41" t="s">
        <v>580</v>
      </c>
      <c r="B239" s="42" t="s">
        <v>143</v>
      </c>
      <c r="C239" s="43" t="s">
        <v>144</v>
      </c>
      <c r="D239" s="42" t="s">
        <v>30</v>
      </c>
      <c r="E239" s="44">
        <v>10.65</v>
      </c>
      <c r="F239" s="44">
        <v>7.1036000000000001</v>
      </c>
    </row>
    <row r="240" spans="1:7" s="31" customFormat="1" ht="24" outlineLevel="1" x14ac:dyDescent="0.25">
      <c r="A240" s="41" t="s">
        <v>581</v>
      </c>
      <c r="B240" s="42" t="s">
        <v>582</v>
      </c>
      <c r="C240" s="43" t="s">
        <v>583</v>
      </c>
      <c r="D240" s="42" t="s">
        <v>30</v>
      </c>
      <c r="E240" s="44">
        <v>21.5</v>
      </c>
      <c r="F240" s="44">
        <v>14.3405</v>
      </c>
    </row>
    <row r="241" spans="1:6" s="31" customFormat="1" outlineLevel="1" x14ac:dyDescent="0.25">
      <c r="A241" s="41" t="s">
        <v>584</v>
      </c>
      <c r="B241" s="42" t="s">
        <v>585</v>
      </c>
      <c r="C241" s="43" t="s">
        <v>586</v>
      </c>
      <c r="D241" s="42" t="s">
        <v>30</v>
      </c>
      <c r="E241" s="44">
        <v>0.79</v>
      </c>
      <c r="F241" s="44">
        <v>0.52693000000000001</v>
      </c>
    </row>
    <row r="242" spans="1:6" s="31" customFormat="1" outlineLevel="1" x14ac:dyDescent="0.25">
      <c r="A242" s="41" t="s">
        <v>587</v>
      </c>
      <c r="B242" s="42" t="s">
        <v>588</v>
      </c>
      <c r="C242" s="43" t="s">
        <v>589</v>
      </c>
      <c r="D242" s="42" t="s">
        <v>30</v>
      </c>
      <c r="E242" s="44">
        <v>2.35</v>
      </c>
      <c r="F242" s="44">
        <v>1.5674999999999999</v>
      </c>
    </row>
    <row r="243" spans="1:6" s="31" customFormat="1" outlineLevel="1" x14ac:dyDescent="0.25">
      <c r="A243" s="41" t="s">
        <v>590</v>
      </c>
      <c r="B243" s="42" t="s">
        <v>216</v>
      </c>
      <c r="C243" s="43" t="s">
        <v>217</v>
      </c>
      <c r="D243" s="42" t="s">
        <v>30</v>
      </c>
      <c r="E243" s="44">
        <v>7.39</v>
      </c>
      <c r="F243" s="44">
        <v>4.9291</v>
      </c>
    </row>
    <row r="244" spans="1:6" s="31" customFormat="1" outlineLevel="1" x14ac:dyDescent="0.25">
      <c r="A244" s="41" t="s">
        <v>591</v>
      </c>
      <c r="B244" s="42" t="s">
        <v>592</v>
      </c>
      <c r="C244" s="43" t="s">
        <v>593</v>
      </c>
      <c r="D244" s="42" t="s">
        <v>30</v>
      </c>
      <c r="E244" s="44">
        <v>0.16</v>
      </c>
      <c r="F244" s="44">
        <v>0.10672</v>
      </c>
    </row>
    <row r="245" spans="1:6" s="31" customFormat="1" outlineLevel="1" x14ac:dyDescent="0.25">
      <c r="A245" s="41" t="s">
        <v>594</v>
      </c>
      <c r="B245" s="42" t="s">
        <v>595</v>
      </c>
      <c r="C245" s="43" t="s">
        <v>596</v>
      </c>
      <c r="D245" s="42" t="s">
        <v>30</v>
      </c>
      <c r="E245" s="44">
        <v>0.95</v>
      </c>
      <c r="F245" s="44">
        <v>0.63365000000000005</v>
      </c>
    </row>
    <row r="246" spans="1:6" s="31" customFormat="1" outlineLevel="1" x14ac:dyDescent="0.25">
      <c r="A246" s="41" t="s">
        <v>597</v>
      </c>
      <c r="B246" s="42" t="s">
        <v>598</v>
      </c>
      <c r="C246" s="43" t="s">
        <v>599</v>
      </c>
      <c r="D246" s="42" t="s">
        <v>30</v>
      </c>
      <c r="E246" s="44">
        <v>0.85</v>
      </c>
      <c r="F246" s="44">
        <v>0.56694999999999995</v>
      </c>
    </row>
    <row r="247" spans="1:6" s="36" customFormat="1" outlineLevel="1" x14ac:dyDescent="0.25">
      <c r="A247" s="37" t="s">
        <v>600</v>
      </c>
      <c r="B247" s="38" t="s">
        <v>601</v>
      </c>
      <c r="C247" s="39" t="s">
        <v>602</v>
      </c>
      <c r="D247" s="38" t="s">
        <v>61</v>
      </c>
      <c r="E247" s="40">
        <v>3.6000000000000002E-4</v>
      </c>
      <c r="F247" s="40">
        <v>2.4010000000000001E-4</v>
      </c>
    </row>
    <row r="248" spans="1:6" s="36" customFormat="1" outlineLevel="1" x14ac:dyDescent="0.25">
      <c r="A248" s="47" t="s">
        <v>603</v>
      </c>
      <c r="B248" s="48" t="s">
        <v>604</v>
      </c>
      <c r="C248" s="49" t="s">
        <v>605</v>
      </c>
      <c r="D248" s="48" t="s">
        <v>166</v>
      </c>
      <c r="E248" s="51">
        <v>0.06</v>
      </c>
      <c r="F248" s="51">
        <v>4.002E-2</v>
      </c>
    </row>
    <row r="249" spans="1:6" s="36" customFormat="1" outlineLevel="1" x14ac:dyDescent="0.25">
      <c r="A249" s="47" t="s">
        <v>606</v>
      </c>
      <c r="B249" s="48" t="s">
        <v>607</v>
      </c>
      <c r="C249" s="49" t="s">
        <v>608</v>
      </c>
      <c r="D249" s="48" t="s">
        <v>61</v>
      </c>
      <c r="E249" s="51">
        <v>1.0000000000000001E-5</v>
      </c>
      <c r="F249" s="51">
        <v>6.7000000000000002E-6</v>
      </c>
    </row>
    <row r="250" spans="1:6" s="36" customFormat="1" outlineLevel="1" x14ac:dyDescent="0.25">
      <c r="A250" s="47" t="s">
        <v>609</v>
      </c>
      <c r="B250" s="48" t="s">
        <v>610</v>
      </c>
      <c r="C250" s="49" t="s">
        <v>611</v>
      </c>
      <c r="D250" s="48" t="s">
        <v>166</v>
      </c>
      <c r="E250" s="51">
        <v>0.08</v>
      </c>
      <c r="F250" s="51">
        <v>5.3359999999999998E-2</v>
      </c>
    </row>
    <row r="251" spans="1:6" s="36" customFormat="1" ht="36" outlineLevel="1" x14ac:dyDescent="0.25">
      <c r="A251" s="47" t="s">
        <v>612</v>
      </c>
      <c r="B251" s="48" t="s">
        <v>613</v>
      </c>
      <c r="C251" s="49" t="s">
        <v>614</v>
      </c>
      <c r="D251" s="48" t="s">
        <v>61</v>
      </c>
      <c r="E251" s="51">
        <v>1.2999999999999999E-3</v>
      </c>
      <c r="F251" s="51">
        <v>8.6709999999999999E-4</v>
      </c>
    </row>
    <row r="252" spans="1:6" s="36" customFormat="1" outlineLevel="1" x14ac:dyDescent="0.25">
      <c r="A252" s="47" t="s">
        <v>615</v>
      </c>
      <c r="B252" s="48" t="s">
        <v>616</v>
      </c>
      <c r="C252" s="49" t="s">
        <v>617</v>
      </c>
      <c r="D252" s="48" t="s">
        <v>76</v>
      </c>
      <c r="E252" s="51">
        <v>0.61</v>
      </c>
      <c r="F252" s="51">
        <v>0.40687000000000001</v>
      </c>
    </row>
    <row r="253" spans="1:6" s="36" customFormat="1" outlineLevel="1" x14ac:dyDescent="0.25">
      <c r="A253" s="47" t="s">
        <v>618</v>
      </c>
      <c r="B253" s="48" t="s">
        <v>619</v>
      </c>
      <c r="C253" s="49" t="s">
        <v>620</v>
      </c>
      <c r="D253" s="48" t="s">
        <v>61</v>
      </c>
      <c r="E253" s="51">
        <v>1.0000000000000001E-5</v>
      </c>
      <c r="F253" s="51">
        <v>6.7000000000000002E-6</v>
      </c>
    </row>
    <row r="254" spans="1:6" s="36" customFormat="1" outlineLevel="1" x14ac:dyDescent="0.25">
      <c r="A254" s="47" t="s">
        <v>621</v>
      </c>
      <c r="B254" s="48" t="s">
        <v>622</v>
      </c>
      <c r="C254" s="49" t="s">
        <v>623</v>
      </c>
      <c r="D254" s="48" t="s">
        <v>61</v>
      </c>
      <c r="E254" s="51">
        <v>5.7000000000000002E-3</v>
      </c>
      <c r="F254" s="51">
        <v>3.8019E-3</v>
      </c>
    </row>
    <row r="255" spans="1:6" s="36" customFormat="1" outlineLevel="1" x14ac:dyDescent="0.25">
      <c r="A255" s="47" t="s">
        <v>624</v>
      </c>
      <c r="B255" s="48" t="s">
        <v>625</v>
      </c>
      <c r="C255" s="49" t="s">
        <v>626</v>
      </c>
      <c r="D255" s="48" t="s">
        <v>547</v>
      </c>
      <c r="E255" s="51">
        <v>3.7</v>
      </c>
      <c r="F255" s="51">
        <v>2.4679000000000002</v>
      </c>
    </row>
    <row r="256" spans="1:6" s="36" customFormat="1" outlineLevel="1" x14ac:dyDescent="0.25">
      <c r="A256" s="47" t="s">
        <v>627</v>
      </c>
      <c r="B256" s="48" t="s">
        <v>628</v>
      </c>
      <c r="C256" s="49" t="s">
        <v>629</v>
      </c>
      <c r="D256" s="48" t="s">
        <v>166</v>
      </c>
      <c r="E256" s="51">
        <v>0.03</v>
      </c>
      <c r="F256" s="51">
        <v>2.001E-2</v>
      </c>
    </row>
    <row r="257" spans="1:7" s="36" customFormat="1" outlineLevel="1" x14ac:dyDescent="0.25">
      <c r="A257" s="47" t="s">
        <v>630</v>
      </c>
      <c r="B257" s="48" t="s">
        <v>631</v>
      </c>
      <c r="C257" s="49" t="s">
        <v>632</v>
      </c>
      <c r="D257" s="48" t="s">
        <v>166</v>
      </c>
      <c r="E257" s="51">
        <v>8.7999999999999995E-2</v>
      </c>
      <c r="F257" s="51">
        <v>5.8695999999999998E-2</v>
      </c>
    </row>
    <row r="258" spans="1:7" s="1" customFormat="1" x14ac:dyDescent="0.25">
      <c r="A258" s="18" t="s">
        <v>226</v>
      </c>
      <c r="B258" s="19"/>
      <c r="C258" s="19" t="s">
        <v>633</v>
      </c>
      <c r="D258" s="20" t="s">
        <v>547</v>
      </c>
      <c r="E258" s="187">
        <v>1</v>
      </c>
      <c r="F258" s="188"/>
      <c r="G258" s="21"/>
    </row>
    <row r="259" spans="1:7" s="1" customFormat="1" ht="63.75" x14ac:dyDescent="0.25">
      <c r="A259" s="18" t="s">
        <v>238</v>
      </c>
      <c r="B259" s="19" t="s">
        <v>634</v>
      </c>
      <c r="C259" s="19" t="s">
        <v>635</v>
      </c>
      <c r="D259" s="20" t="s">
        <v>636</v>
      </c>
      <c r="E259" s="146">
        <v>30</v>
      </c>
      <c r="F259" s="147"/>
      <c r="G259" s="21"/>
    </row>
    <row r="260" spans="1:7" s="26" customFormat="1" outlineLevel="1" x14ac:dyDescent="0.25">
      <c r="A260" s="22" t="s">
        <v>242</v>
      </c>
      <c r="B260" s="23" t="s">
        <v>19</v>
      </c>
      <c r="C260" s="24" t="s">
        <v>37</v>
      </c>
      <c r="D260" s="23" t="s">
        <v>26</v>
      </c>
      <c r="E260" s="25">
        <v>0.9</v>
      </c>
      <c r="F260" s="45">
        <v>27</v>
      </c>
    </row>
    <row r="261" spans="1:7" s="1" customFormat="1" ht="76.5" x14ac:dyDescent="0.25">
      <c r="A261" s="18" t="s">
        <v>247</v>
      </c>
      <c r="B261" s="19" t="s">
        <v>637</v>
      </c>
      <c r="C261" s="19" t="s">
        <v>638</v>
      </c>
      <c r="D261" s="20" t="s">
        <v>639</v>
      </c>
      <c r="E261" s="144">
        <v>0.3</v>
      </c>
      <c r="F261" s="145"/>
      <c r="G261" s="21"/>
    </row>
    <row r="262" spans="1:7" s="26" customFormat="1" outlineLevel="1" x14ac:dyDescent="0.25">
      <c r="A262" s="22" t="s">
        <v>640</v>
      </c>
      <c r="B262" s="23" t="s">
        <v>19</v>
      </c>
      <c r="C262" s="24" t="s">
        <v>37</v>
      </c>
      <c r="D262" s="23" t="s">
        <v>26</v>
      </c>
      <c r="E262" s="45">
        <v>10</v>
      </c>
      <c r="F262" s="45">
        <v>3</v>
      </c>
    </row>
    <row r="263" spans="1:7" s="31" customFormat="1" outlineLevel="1" x14ac:dyDescent="0.25">
      <c r="A263" s="27" t="s">
        <v>641</v>
      </c>
      <c r="B263" s="28" t="s">
        <v>642</v>
      </c>
      <c r="C263" s="29" t="s">
        <v>643</v>
      </c>
      <c r="D263" s="28" t="s">
        <v>30</v>
      </c>
      <c r="E263" s="100">
        <v>10</v>
      </c>
      <c r="F263" s="100">
        <v>3</v>
      </c>
    </row>
    <row r="264" spans="1:7" s="1" customFormat="1" ht="63.75" x14ac:dyDescent="0.25">
      <c r="A264" s="18" t="s">
        <v>249</v>
      </c>
      <c r="B264" s="19" t="s">
        <v>644</v>
      </c>
      <c r="C264" s="19" t="s">
        <v>645</v>
      </c>
      <c r="D264" s="20" t="s">
        <v>646</v>
      </c>
      <c r="E264" s="144">
        <v>0.3</v>
      </c>
      <c r="F264" s="145"/>
      <c r="G264" s="21"/>
    </row>
    <row r="265" spans="1:7" s="26" customFormat="1" outlineLevel="1" x14ac:dyDescent="0.25">
      <c r="A265" s="22" t="s">
        <v>253</v>
      </c>
      <c r="B265" s="23" t="s">
        <v>19</v>
      </c>
      <c r="C265" s="24" t="s">
        <v>37</v>
      </c>
      <c r="D265" s="23" t="s">
        <v>26</v>
      </c>
      <c r="E265" s="25">
        <v>9.08</v>
      </c>
      <c r="F265" s="25">
        <v>2.7240000000000002</v>
      </c>
    </row>
    <row r="266" spans="1:7" s="36" customFormat="1" outlineLevel="1" x14ac:dyDescent="0.25">
      <c r="A266" s="32" t="s">
        <v>254</v>
      </c>
      <c r="B266" s="33" t="s">
        <v>24</v>
      </c>
      <c r="C266" s="34" t="s">
        <v>25</v>
      </c>
      <c r="D266" s="33" t="s">
        <v>26</v>
      </c>
      <c r="E266" s="35">
        <v>0.03</v>
      </c>
      <c r="F266" s="35">
        <v>8.9999999999999993E-3</v>
      </c>
    </row>
    <row r="267" spans="1:7" s="31" customFormat="1" outlineLevel="1" x14ac:dyDescent="0.25">
      <c r="A267" s="27" t="s">
        <v>647</v>
      </c>
      <c r="B267" s="28" t="s">
        <v>187</v>
      </c>
      <c r="C267" s="29" t="s">
        <v>188</v>
      </c>
      <c r="D267" s="28" t="s">
        <v>30</v>
      </c>
      <c r="E267" s="30">
        <v>0.01</v>
      </c>
      <c r="F267" s="30">
        <v>3.0000000000000001E-3</v>
      </c>
    </row>
    <row r="268" spans="1:7" s="31" customFormat="1" outlineLevel="1" x14ac:dyDescent="0.25">
      <c r="A268" s="41" t="s">
        <v>648</v>
      </c>
      <c r="B268" s="42" t="s">
        <v>649</v>
      </c>
      <c r="C268" s="43" t="s">
        <v>650</v>
      </c>
      <c r="D268" s="42" t="s">
        <v>30</v>
      </c>
      <c r="E268" s="44">
        <v>0.01</v>
      </c>
      <c r="F268" s="44">
        <v>3.0000000000000001E-3</v>
      </c>
    </row>
    <row r="269" spans="1:7" s="31" customFormat="1" outlineLevel="1" x14ac:dyDescent="0.25">
      <c r="A269" s="41" t="s">
        <v>651</v>
      </c>
      <c r="B269" s="42" t="s">
        <v>152</v>
      </c>
      <c r="C269" s="43" t="s">
        <v>153</v>
      </c>
      <c r="D269" s="42" t="s">
        <v>30</v>
      </c>
      <c r="E269" s="44">
        <v>0.02</v>
      </c>
      <c r="F269" s="44">
        <v>6.0000000000000001E-3</v>
      </c>
    </row>
    <row r="270" spans="1:7" s="36" customFormat="1" outlineLevel="1" x14ac:dyDescent="0.25">
      <c r="A270" s="37" t="s">
        <v>652</v>
      </c>
      <c r="B270" s="38" t="s">
        <v>653</v>
      </c>
      <c r="C270" s="39" t="s">
        <v>654</v>
      </c>
      <c r="D270" s="38" t="s">
        <v>61</v>
      </c>
      <c r="E270" s="40">
        <v>3.2000000000000001E-2</v>
      </c>
      <c r="F270" s="40">
        <v>9.5999999999999992E-3</v>
      </c>
    </row>
    <row r="271" spans="1:7" s="36" customFormat="1" outlineLevel="1" x14ac:dyDescent="0.25">
      <c r="A271" s="47" t="s">
        <v>655</v>
      </c>
      <c r="B271" s="48" t="s">
        <v>656</v>
      </c>
      <c r="C271" s="49" t="s">
        <v>657</v>
      </c>
      <c r="D271" s="48" t="s">
        <v>166</v>
      </c>
      <c r="E271" s="50">
        <v>5</v>
      </c>
      <c r="F271" s="51">
        <v>1.5</v>
      </c>
    </row>
    <row r="272" spans="1:7" s="1" customFormat="1" ht="63.75" x14ac:dyDescent="0.25">
      <c r="A272" s="18" t="s">
        <v>257</v>
      </c>
      <c r="B272" s="19" t="s">
        <v>658</v>
      </c>
      <c r="C272" s="19" t="s">
        <v>659</v>
      </c>
      <c r="D272" s="20" t="s">
        <v>660</v>
      </c>
      <c r="E272" s="144">
        <v>0.3</v>
      </c>
      <c r="F272" s="145"/>
      <c r="G272" s="21"/>
    </row>
    <row r="273" spans="1:7" s="26" customFormat="1" outlineLevel="1" x14ac:dyDescent="0.25">
      <c r="A273" s="22" t="s">
        <v>661</v>
      </c>
      <c r="B273" s="23" t="s">
        <v>19</v>
      </c>
      <c r="C273" s="24" t="s">
        <v>37</v>
      </c>
      <c r="D273" s="23" t="s">
        <v>26</v>
      </c>
      <c r="E273" s="25">
        <v>7.84</v>
      </c>
      <c r="F273" s="25">
        <v>2.3519999999999999</v>
      </c>
    </row>
    <row r="274" spans="1:7" s="36" customFormat="1" outlineLevel="1" x14ac:dyDescent="0.25">
      <c r="A274" s="32" t="s">
        <v>662</v>
      </c>
      <c r="B274" s="33" t="s">
        <v>24</v>
      </c>
      <c r="C274" s="34" t="s">
        <v>25</v>
      </c>
      <c r="D274" s="33" t="s">
        <v>26</v>
      </c>
      <c r="E274" s="35">
        <v>0.06</v>
      </c>
      <c r="F274" s="35">
        <v>1.7999999999999999E-2</v>
      </c>
    </row>
    <row r="275" spans="1:7" s="31" customFormat="1" outlineLevel="1" x14ac:dyDescent="0.25">
      <c r="A275" s="27" t="s">
        <v>663</v>
      </c>
      <c r="B275" s="28" t="s">
        <v>187</v>
      </c>
      <c r="C275" s="29" t="s">
        <v>188</v>
      </c>
      <c r="D275" s="28" t="s">
        <v>30</v>
      </c>
      <c r="E275" s="30">
        <v>0.02</v>
      </c>
      <c r="F275" s="30">
        <v>6.0000000000000001E-3</v>
      </c>
    </row>
    <row r="276" spans="1:7" s="31" customFormat="1" outlineLevel="1" x14ac:dyDescent="0.25">
      <c r="A276" s="41" t="s">
        <v>664</v>
      </c>
      <c r="B276" s="42" t="s">
        <v>649</v>
      </c>
      <c r="C276" s="43" t="s">
        <v>650</v>
      </c>
      <c r="D276" s="42" t="s">
        <v>30</v>
      </c>
      <c r="E276" s="44">
        <v>0.02</v>
      </c>
      <c r="F276" s="44">
        <v>6.0000000000000001E-3</v>
      </c>
    </row>
    <row r="277" spans="1:7" s="31" customFormat="1" outlineLevel="1" x14ac:dyDescent="0.25">
      <c r="A277" s="41" t="s">
        <v>665</v>
      </c>
      <c r="B277" s="42" t="s">
        <v>152</v>
      </c>
      <c r="C277" s="43" t="s">
        <v>153</v>
      </c>
      <c r="D277" s="42" t="s">
        <v>30</v>
      </c>
      <c r="E277" s="44">
        <v>0.04</v>
      </c>
      <c r="F277" s="44">
        <v>1.2E-2</v>
      </c>
    </row>
    <row r="278" spans="1:7" s="31" customFormat="1" ht="24" outlineLevel="1" x14ac:dyDescent="0.25">
      <c r="A278" s="41" t="s">
        <v>666</v>
      </c>
      <c r="B278" s="42" t="s">
        <v>667</v>
      </c>
      <c r="C278" s="43" t="s">
        <v>668</v>
      </c>
      <c r="D278" s="42" t="s">
        <v>30</v>
      </c>
      <c r="E278" s="44">
        <v>2.2400000000000002</v>
      </c>
      <c r="F278" s="44">
        <v>0.67200000000000004</v>
      </c>
    </row>
    <row r="279" spans="1:7" s="36" customFormat="1" outlineLevel="1" x14ac:dyDescent="0.25">
      <c r="A279" s="37" t="s">
        <v>669</v>
      </c>
      <c r="B279" s="38" t="s">
        <v>670</v>
      </c>
      <c r="C279" s="39" t="s">
        <v>671</v>
      </c>
      <c r="D279" s="38" t="s">
        <v>61</v>
      </c>
      <c r="E279" s="40">
        <v>3.1800000000000002E-2</v>
      </c>
      <c r="F279" s="40">
        <v>9.5399999999999999E-3</v>
      </c>
    </row>
    <row r="280" spans="1:7" s="36" customFormat="1" outlineLevel="1" x14ac:dyDescent="0.25">
      <c r="A280" s="47" t="s">
        <v>672</v>
      </c>
      <c r="B280" s="48" t="s">
        <v>673</v>
      </c>
      <c r="C280" s="49" t="s">
        <v>674</v>
      </c>
      <c r="D280" s="48" t="s">
        <v>61</v>
      </c>
      <c r="E280" s="51">
        <v>1.6E-2</v>
      </c>
      <c r="F280" s="51">
        <v>4.7999999999999996E-3</v>
      </c>
    </row>
    <row r="281" spans="1:7" s="1" customFormat="1" ht="63.75" x14ac:dyDescent="0.25">
      <c r="A281" s="18" t="s">
        <v>259</v>
      </c>
      <c r="B281" s="19" t="s">
        <v>675</v>
      </c>
      <c r="C281" s="19" t="s">
        <v>676</v>
      </c>
      <c r="D281" s="20" t="s">
        <v>660</v>
      </c>
      <c r="E281" s="144">
        <v>0.3</v>
      </c>
      <c r="F281" s="145"/>
      <c r="G281" s="21"/>
    </row>
    <row r="282" spans="1:7" s="26" customFormat="1" outlineLevel="1" x14ac:dyDescent="0.25">
      <c r="A282" s="22" t="s">
        <v>262</v>
      </c>
      <c r="B282" s="23" t="s">
        <v>19</v>
      </c>
      <c r="C282" s="24" t="s">
        <v>37</v>
      </c>
      <c r="D282" s="23" t="s">
        <v>26</v>
      </c>
      <c r="E282" s="25">
        <v>12.35</v>
      </c>
      <c r="F282" s="25">
        <v>3.7050000000000001</v>
      </c>
    </row>
    <row r="283" spans="1:7" s="36" customFormat="1" outlineLevel="1" x14ac:dyDescent="0.25">
      <c r="A283" s="32" t="s">
        <v>677</v>
      </c>
      <c r="B283" s="33" t="s">
        <v>24</v>
      </c>
      <c r="C283" s="34" t="s">
        <v>25</v>
      </c>
      <c r="D283" s="33" t="s">
        <v>26</v>
      </c>
      <c r="E283" s="35">
        <v>0.15</v>
      </c>
      <c r="F283" s="35">
        <v>4.4999999999999998E-2</v>
      </c>
    </row>
    <row r="284" spans="1:7" s="31" customFormat="1" outlineLevel="1" x14ac:dyDescent="0.25">
      <c r="A284" s="27" t="s">
        <v>678</v>
      </c>
      <c r="B284" s="28" t="s">
        <v>187</v>
      </c>
      <c r="C284" s="29" t="s">
        <v>188</v>
      </c>
      <c r="D284" s="28" t="s">
        <v>30</v>
      </c>
      <c r="E284" s="30">
        <v>0.05</v>
      </c>
      <c r="F284" s="30">
        <v>1.4999999999999999E-2</v>
      </c>
    </row>
    <row r="285" spans="1:7" s="31" customFormat="1" outlineLevel="1" x14ac:dyDescent="0.25">
      <c r="A285" s="41" t="s">
        <v>679</v>
      </c>
      <c r="B285" s="42" t="s">
        <v>649</v>
      </c>
      <c r="C285" s="43" t="s">
        <v>650</v>
      </c>
      <c r="D285" s="42" t="s">
        <v>30</v>
      </c>
      <c r="E285" s="44">
        <v>0.05</v>
      </c>
      <c r="F285" s="44">
        <v>1.4999999999999999E-2</v>
      </c>
    </row>
    <row r="286" spans="1:7" s="31" customFormat="1" outlineLevel="1" x14ac:dyDescent="0.25">
      <c r="A286" s="41" t="s">
        <v>680</v>
      </c>
      <c r="B286" s="42" t="s">
        <v>152</v>
      </c>
      <c r="C286" s="43" t="s">
        <v>153</v>
      </c>
      <c r="D286" s="42" t="s">
        <v>30</v>
      </c>
      <c r="E286" s="44">
        <v>0.1</v>
      </c>
      <c r="F286" s="44">
        <v>0.03</v>
      </c>
    </row>
    <row r="287" spans="1:7" s="31" customFormat="1" ht="24" outlineLevel="1" x14ac:dyDescent="0.25">
      <c r="A287" s="41" t="s">
        <v>681</v>
      </c>
      <c r="B287" s="42" t="s">
        <v>667</v>
      </c>
      <c r="C287" s="43" t="s">
        <v>668</v>
      </c>
      <c r="D287" s="42" t="s">
        <v>30</v>
      </c>
      <c r="E287" s="44">
        <v>3.25</v>
      </c>
      <c r="F287" s="44">
        <v>0.97499999999999998</v>
      </c>
    </row>
    <row r="288" spans="1:7" s="36" customFormat="1" outlineLevel="1" x14ac:dyDescent="0.25">
      <c r="A288" s="37" t="s">
        <v>682</v>
      </c>
      <c r="B288" s="38" t="s">
        <v>673</v>
      </c>
      <c r="C288" s="39" t="s">
        <v>674</v>
      </c>
      <c r="D288" s="38" t="s">
        <v>61</v>
      </c>
      <c r="E288" s="40">
        <v>0.04</v>
      </c>
      <c r="F288" s="40">
        <v>1.2E-2</v>
      </c>
    </row>
    <row r="289" spans="1:7" s="36" customFormat="1" outlineLevel="1" x14ac:dyDescent="0.25">
      <c r="A289" s="47" t="s">
        <v>683</v>
      </c>
      <c r="B289" s="48" t="s">
        <v>684</v>
      </c>
      <c r="C289" s="49" t="s">
        <v>685</v>
      </c>
      <c r="D289" s="48" t="s">
        <v>61</v>
      </c>
      <c r="E289" s="51">
        <v>9.5000000000000001E-2</v>
      </c>
      <c r="F289" s="51">
        <v>2.8500000000000001E-2</v>
      </c>
    </row>
    <row r="290" spans="1:7" s="1" customFormat="1" ht="25.5" x14ac:dyDescent="0.25">
      <c r="A290" s="18" t="s">
        <v>263</v>
      </c>
      <c r="B290" s="19" t="s">
        <v>575</v>
      </c>
      <c r="C290" s="19" t="s">
        <v>686</v>
      </c>
      <c r="D290" s="20" t="s">
        <v>61</v>
      </c>
      <c r="E290" s="144">
        <v>0.621</v>
      </c>
      <c r="F290" s="145"/>
      <c r="G290" s="21"/>
    </row>
    <row r="291" spans="1:7" s="26" customFormat="1" outlineLevel="1" x14ac:dyDescent="0.25">
      <c r="A291" s="22" t="s">
        <v>687</v>
      </c>
      <c r="B291" s="23" t="s">
        <v>19</v>
      </c>
      <c r="C291" s="24" t="s">
        <v>37</v>
      </c>
      <c r="D291" s="23" t="s">
        <v>26</v>
      </c>
      <c r="E291" s="45">
        <v>161</v>
      </c>
      <c r="F291" s="25">
        <v>99.980999999999995</v>
      </c>
    </row>
    <row r="292" spans="1:7" s="36" customFormat="1" outlineLevel="1" x14ac:dyDescent="0.25">
      <c r="A292" s="32" t="s">
        <v>688</v>
      </c>
      <c r="B292" s="33" t="s">
        <v>24</v>
      </c>
      <c r="C292" s="34" t="s">
        <v>25</v>
      </c>
      <c r="D292" s="33" t="s">
        <v>26</v>
      </c>
      <c r="E292" s="35">
        <v>34.020000000000003</v>
      </c>
      <c r="F292" s="35">
        <v>21.1264</v>
      </c>
    </row>
    <row r="293" spans="1:7" s="31" customFormat="1" ht="24" outlineLevel="1" x14ac:dyDescent="0.25">
      <c r="A293" s="27" t="s">
        <v>689</v>
      </c>
      <c r="B293" s="28" t="s">
        <v>93</v>
      </c>
      <c r="C293" s="29" t="s">
        <v>94</v>
      </c>
      <c r="D293" s="28" t="s">
        <v>30</v>
      </c>
      <c r="E293" s="30">
        <v>0.92</v>
      </c>
      <c r="F293" s="30">
        <v>0.57132000000000005</v>
      </c>
    </row>
    <row r="294" spans="1:7" s="31" customFormat="1" ht="24" outlineLevel="1" x14ac:dyDescent="0.25">
      <c r="A294" s="41" t="s">
        <v>690</v>
      </c>
      <c r="B294" s="42" t="s">
        <v>143</v>
      </c>
      <c r="C294" s="43" t="s">
        <v>144</v>
      </c>
      <c r="D294" s="42" t="s">
        <v>30</v>
      </c>
      <c r="E294" s="44">
        <v>10.65</v>
      </c>
      <c r="F294" s="44">
        <v>6.6135999999999999</v>
      </c>
    </row>
    <row r="295" spans="1:7" s="31" customFormat="1" ht="24" outlineLevel="1" x14ac:dyDescent="0.25">
      <c r="A295" s="41" t="s">
        <v>691</v>
      </c>
      <c r="B295" s="42" t="s">
        <v>582</v>
      </c>
      <c r="C295" s="43" t="s">
        <v>583</v>
      </c>
      <c r="D295" s="42" t="s">
        <v>30</v>
      </c>
      <c r="E295" s="44">
        <v>21.5</v>
      </c>
      <c r="F295" s="44">
        <v>13.3515</v>
      </c>
    </row>
    <row r="296" spans="1:7" s="31" customFormat="1" outlineLevel="1" x14ac:dyDescent="0.25">
      <c r="A296" s="41" t="s">
        <v>692</v>
      </c>
      <c r="B296" s="42" t="s">
        <v>585</v>
      </c>
      <c r="C296" s="43" t="s">
        <v>586</v>
      </c>
      <c r="D296" s="42" t="s">
        <v>30</v>
      </c>
      <c r="E296" s="44">
        <v>0.79</v>
      </c>
      <c r="F296" s="44">
        <v>0.49059000000000003</v>
      </c>
    </row>
    <row r="297" spans="1:7" s="31" customFormat="1" outlineLevel="1" x14ac:dyDescent="0.25">
      <c r="A297" s="41" t="s">
        <v>693</v>
      </c>
      <c r="B297" s="42" t="s">
        <v>588</v>
      </c>
      <c r="C297" s="43" t="s">
        <v>589</v>
      </c>
      <c r="D297" s="42" t="s">
        <v>30</v>
      </c>
      <c r="E297" s="44">
        <v>2.35</v>
      </c>
      <c r="F297" s="44">
        <v>1.4593</v>
      </c>
    </row>
    <row r="298" spans="1:7" s="31" customFormat="1" outlineLevel="1" x14ac:dyDescent="0.25">
      <c r="A298" s="41" t="s">
        <v>694</v>
      </c>
      <c r="B298" s="42" t="s">
        <v>216</v>
      </c>
      <c r="C298" s="43" t="s">
        <v>217</v>
      </c>
      <c r="D298" s="42" t="s">
        <v>30</v>
      </c>
      <c r="E298" s="44">
        <v>7.39</v>
      </c>
      <c r="F298" s="44">
        <v>4.5891999999999999</v>
      </c>
    </row>
    <row r="299" spans="1:7" s="31" customFormat="1" outlineLevel="1" x14ac:dyDescent="0.25">
      <c r="A299" s="41" t="s">
        <v>695</v>
      </c>
      <c r="B299" s="42" t="s">
        <v>592</v>
      </c>
      <c r="C299" s="43" t="s">
        <v>593</v>
      </c>
      <c r="D299" s="42" t="s">
        <v>30</v>
      </c>
      <c r="E299" s="44">
        <v>0.16</v>
      </c>
      <c r="F299" s="44">
        <v>9.9360000000000004E-2</v>
      </c>
    </row>
    <row r="300" spans="1:7" s="31" customFormat="1" outlineLevel="1" x14ac:dyDescent="0.25">
      <c r="A300" s="41" t="s">
        <v>696</v>
      </c>
      <c r="B300" s="42" t="s">
        <v>595</v>
      </c>
      <c r="C300" s="43" t="s">
        <v>596</v>
      </c>
      <c r="D300" s="42" t="s">
        <v>30</v>
      </c>
      <c r="E300" s="44">
        <v>0.95</v>
      </c>
      <c r="F300" s="44">
        <v>0.58994999999999997</v>
      </c>
    </row>
    <row r="301" spans="1:7" s="31" customFormat="1" outlineLevel="1" x14ac:dyDescent="0.25">
      <c r="A301" s="41" t="s">
        <v>697</v>
      </c>
      <c r="B301" s="42" t="s">
        <v>598</v>
      </c>
      <c r="C301" s="43" t="s">
        <v>599</v>
      </c>
      <c r="D301" s="42" t="s">
        <v>30</v>
      </c>
      <c r="E301" s="44">
        <v>0.85</v>
      </c>
      <c r="F301" s="44">
        <v>0.52785000000000004</v>
      </c>
    </row>
    <row r="302" spans="1:7" s="36" customFormat="1" outlineLevel="1" x14ac:dyDescent="0.25">
      <c r="A302" s="37" t="s">
        <v>698</v>
      </c>
      <c r="B302" s="38" t="s">
        <v>601</v>
      </c>
      <c r="C302" s="39" t="s">
        <v>602</v>
      </c>
      <c r="D302" s="38" t="s">
        <v>61</v>
      </c>
      <c r="E302" s="40">
        <v>3.6000000000000002E-4</v>
      </c>
      <c r="F302" s="40">
        <v>2.2359999999999999E-4</v>
      </c>
    </row>
    <row r="303" spans="1:7" s="36" customFormat="1" outlineLevel="1" x14ac:dyDescent="0.25">
      <c r="A303" s="47" t="s">
        <v>699</v>
      </c>
      <c r="B303" s="48" t="s">
        <v>604</v>
      </c>
      <c r="C303" s="49" t="s">
        <v>605</v>
      </c>
      <c r="D303" s="48" t="s">
        <v>166</v>
      </c>
      <c r="E303" s="51">
        <v>0.06</v>
      </c>
      <c r="F303" s="51">
        <v>3.7260000000000001E-2</v>
      </c>
    </row>
    <row r="304" spans="1:7" s="36" customFormat="1" outlineLevel="1" x14ac:dyDescent="0.25">
      <c r="A304" s="47" t="s">
        <v>700</v>
      </c>
      <c r="B304" s="48" t="s">
        <v>607</v>
      </c>
      <c r="C304" s="49" t="s">
        <v>608</v>
      </c>
      <c r="D304" s="48" t="s">
        <v>61</v>
      </c>
      <c r="E304" s="51">
        <v>1.0000000000000001E-5</v>
      </c>
      <c r="F304" s="51">
        <v>6.1999999999999999E-6</v>
      </c>
    </row>
    <row r="305" spans="1:7" s="36" customFormat="1" outlineLevel="1" x14ac:dyDescent="0.25">
      <c r="A305" s="47" t="s">
        <v>701</v>
      </c>
      <c r="B305" s="48" t="s">
        <v>610</v>
      </c>
      <c r="C305" s="49" t="s">
        <v>611</v>
      </c>
      <c r="D305" s="48" t="s">
        <v>166</v>
      </c>
      <c r="E305" s="51">
        <v>0.08</v>
      </c>
      <c r="F305" s="51">
        <v>4.9680000000000002E-2</v>
      </c>
    </row>
    <row r="306" spans="1:7" s="36" customFormat="1" ht="36" outlineLevel="1" x14ac:dyDescent="0.25">
      <c r="A306" s="47" t="s">
        <v>702</v>
      </c>
      <c r="B306" s="48" t="s">
        <v>613</v>
      </c>
      <c r="C306" s="49" t="s">
        <v>614</v>
      </c>
      <c r="D306" s="48" t="s">
        <v>61</v>
      </c>
      <c r="E306" s="51">
        <v>1.2999999999999999E-3</v>
      </c>
      <c r="F306" s="51">
        <v>8.0730000000000005E-4</v>
      </c>
    </row>
    <row r="307" spans="1:7" s="36" customFormat="1" outlineLevel="1" x14ac:dyDescent="0.25">
      <c r="A307" s="47" t="s">
        <v>703</v>
      </c>
      <c r="B307" s="48" t="s">
        <v>616</v>
      </c>
      <c r="C307" s="49" t="s">
        <v>617</v>
      </c>
      <c r="D307" s="48" t="s">
        <v>76</v>
      </c>
      <c r="E307" s="51">
        <v>0.61</v>
      </c>
      <c r="F307" s="51">
        <v>0.37880999999999998</v>
      </c>
    </row>
    <row r="308" spans="1:7" s="36" customFormat="1" outlineLevel="1" x14ac:dyDescent="0.25">
      <c r="A308" s="47" t="s">
        <v>704</v>
      </c>
      <c r="B308" s="48" t="s">
        <v>619</v>
      </c>
      <c r="C308" s="49" t="s">
        <v>620</v>
      </c>
      <c r="D308" s="48" t="s">
        <v>61</v>
      </c>
      <c r="E308" s="51">
        <v>1.0000000000000001E-5</v>
      </c>
      <c r="F308" s="51">
        <v>6.1999999999999999E-6</v>
      </c>
    </row>
    <row r="309" spans="1:7" s="36" customFormat="1" outlineLevel="1" x14ac:dyDescent="0.25">
      <c r="A309" s="47" t="s">
        <v>705</v>
      </c>
      <c r="B309" s="48" t="s">
        <v>622</v>
      </c>
      <c r="C309" s="49" t="s">
        <v>623</v>
      </c>
      <c r="D309" s="48" t="s">
        <v>61</v>
      </c>
      <c r="E309" s="51">
        <v>5.7000000000000002E-3</v>
      </c>
      <c r="F309" s="51">
        <v>3.5396999999999998E-3</v>
      </c>
    </row>
    <row r="310" spans="1:7" s="36" customFormat="1" outlineLevel="1" x14ac:dyDescent="0.25">
      <c r="A310" s="47" t="s">
        <v>706</v>
      </c>
      <c r="B310" s="48" t="s">
        <v>625</v>
      </c>
      <c r="C310" s="49" t="s">
        <v>626</v>
      </c>
      <c r="D310" s="48" t="s">
        <v>547</v>
      </c>
      <c r="E310" s="51">
        <v>3.7</v>
      </c>
      <c r="F310" s="51">
        <v>2.2976999999999999</v>
      </c>
    </row>
    <row r="311" spans="1:7" s="36" customFormat="1" outlineLevel="1" x14ac:dyDescent="0.25">
      <c r="A311" s="47" t="s">
        <v>707</v>
      </c>
      <c r="B311" s="48" t="s">
        <v>628</v>
      </c>
      <c r="C311" s="49" t="s">
        <v>629</v>
      </c>
      <c r="D311" s="48" t="s">
        <v>166</v>
      </c>
      <c r="E311" s="51">
        <v>0.03</v>
      </c>
      <c r="F311" s="51">
        <v>1.8630000000000001E-2</v>
      </c>
    </row>
    <row r="312" spans="1:7" s="36" customFormat="1" outlineLevel="1" x14ac:dyDescent="0.25">
      <c r="A312" s="47" t="s">
        <v>708</v>
      </c>
      <c r="B312" s="48" t="s">
        <v>631</v>
      </c>
      <c r="C312" s="49" t="s">
        <v>632</v>
      </c>
      <c r="D312" s="48" t="s">
        <v>166</v>
      </c>
      <c r="E312" s="51">
        <v>8.7999999999999995E-2</v>
      </c>
      <c r="F312" s="51">
        <v>5.4648000000000002E-2</v>
      </c>
    </row>
    <row r="313" spans="1:7" s="1" customFormat="1" x14ac:dyDescent="0.25">
      <c r="A313" s="18" t="s">
        <v>266</v>
      </c>
      <c r="B313" s="19"/>
      <c r="C313" s="19" t="s">
        <v>633</v>
      </c>
      <c r="D313" s="20" t="s">
        <v>547</v>
      </c>
      <c r="E313" s="187">
        <v>1</v>
      </c>
      <c r="F313" s="188"/>
      <c r="G313" s="21"/>
    </row>
    <row r="314" spans="1:7" s="1" customFormat="1" ht="63.75" x14ac:dyDescent="0.25">
      <c r="A314" s="18" t="s">
        <v>276</v>
      </c>
      <c r="B314" s="19" t="s">
        <v>634</v>
      </c>
      <c r="C314" s="19" t="s">
        <v>635</v>
      </c>
      <c r="D314" s="20" t="s">
        <v>636</v>
      </c>
      <c r="E314" s="146">
        <v>30</v>
      </c>
      <c r="F314" s="147"/>
      <c r="G314" s="21"/>
    </row>
    <row r="315" spans="1:7" s="26" customFormat="1" outlineLevel="1" x14ac:dyDescent="0.25">
      <c r="A315" s="22" t="s">
        <v>279</v>
      </c>
      <c r="B315" s="23" t="s">
        <v>19</v>
      </c>
      <c r="C315" s="24" t="s">
        <v>37</v>
      </c>
      <c r="D315" s="23" t="s">
        <v>26</v>
      </c>
      <c r="E315" s="25">
        <v>0.9</v>
      </c>
      <c r="F315" s="45">
        <v>27</v>
      </c>
    </row>
    <row r="316" spans="1:7" s="1" customFormat="1" ht="76.5" x14ac:dyDescent="0.25">
      <c r="A316" s="18" t="s">
        <v>280</v>
      </c>
      <c r="B316" s="19" t="s">
        <v>637</v>
      </c>
      <c r="C316" s="19" t="s">
        <v>638</v>
      </c>
      <c r="D316" s="20" t="s">
        <v>639</v>
      </c>
      <c r="E316" s="144">
        <v>0.3</v>
      </c>
      <c r="F316" s="145"/>
      <c r="G316" s="21"/>
    </row>
    <row r="317" spans="1:7" s="26" customFormat="1" outlineLevel="1" x14ac:dyDescent="0.25">
      <c r="A317" s="22" t="s">
        <v>282</v>
      </c>
      <c r="B317" s="23" t="s">
        <v>19</v>
      </c>
      <c r="C317" s="24" t="s">
        <v>37</v>
      </c>
      <c r="D317" s="23" t="s">
        <v>26</v>
      </c>
      <c r="E317" s="45">
        <v>10</v>
      </c>
      <c r="F317" s="45">
        <v>3</v>
      </c>
    </row>
    <row r="318" spans="1:7" s="31" customFormat="1" outlineLevel="1" x14ac:dyDescent="0.25">
      <c r="A318" s="27" t="s">
        <v>283</v>
      </c>
      <c r="B318" s="28" t="s">
        <v>642</v>
      </c>
      <c r="C318" s="29" t="s">
        <v>643</v>
      </c>
      <c r="D318" s="28" t="s">
        <v>30</v>
      </c>
      <c r="E318" s="100">
        <v>10</v>
      </c>
      <c r="F318" s="100">
        <v>3</v>
      </c>
    </row>
    <row r="319" spans="1:7" s="1" customFormat="1" ht="63.75" x14ac:dyDescent="0.25">
      <c r="A319" s="18" t="s">
        <v>284</v>
      </c>
      <c r="B319" s="19" t="s">
        <v>644</v>
      </c>
      <c r="C319" s="19" t="s">
        <v>645</v>
      </c>
      <c r="D319" s="20" t="s">
        <v>646</v>
      </c>
      <c r="E319" s="144">
        <v>0.3</v>
      </c>
      <c r="F319" s="145"/>
      <c r="G319" s="21"/>
    </row>
    <row r="320" spans="1:7" s="26" customFormat="1" outlineLevel="1" x14ac:dyDescent="0.25">
      <c r="A320" s="22" t="s">
        <v>287</v>
      </c>
      <c r="B320" s="23" t="s">
        <v>19</v>
      </c>
      <c r="C320" s="24" t="s">
        <v>37</v>
      </c>
      <c r="D320" s="23" t="s">
        <v>26</v>
      </c>
      <c r="E320" s="25">
        <v>9.08</v>
      </c>
      <c r="F320" s="25">
        <v>2.7240000000000002</v>
      </c>
    </row>
    <row r="321" spans="1:7" s="36" customFormat="1" outlineLevel="1" x14ac:dyDescent="0.25">
      <c r="A321" s="32" t="s">
        <v>288</v>
      </c>
      <c r="B321" s="33" t="s">
        <v>24</v>
      </c>
      <c r="C321" s="34" t="s">
        <v>25</v>
      </c>
      <c r="D321" s="33" t="s">
        <v>26</v>
      </c>
      <c r="E321" s="35">
        <v>0.03</v>
      </c>
      <c r="F321" s="35">
        <v>8.9999999999999993E-3</v>
      </c>
    </row>
    <row r="322" spans="1:7" s="31" customFormat="1" outlineLevel="1" x14ac:dyDescent="0.25">
      <c r="A322" s="27" t="s">
        <v>289</v>
      </c>
      <c r="B322" s="28" t="s">
        <v>187</v>
      </c>
      <c r="C322" s="29" t="s">
        <v>188</v>
      </c>
      <c r="D322" s="28" t="s">
        <v>30</v>
      </c>
      <c r="E322" s="30">
        <v>0.01</v>
      </c>
      <c r="F322" s="30">
        <v>3.0000000000000001E-3</v>
      </c>
    </row>
    <row r="323" spans="1:7" s="31" customFormat="1" outlineLevel="1" x14ac:dyDescent="0.25">
      <c r="A323" s="41" t="s">
        <v>710</v>
      </c>
      <c r="B323" s="42" t="s">
        <v>649</v>
      </c>
      <c r="C323" s="43" t="s">
        <v>650</v>
      </c>
      <c r="D323" s="42" t="s">
        <v>30</v>
      </c>
      <c r="E323" s="44">
        <v>0.01</v>
      </c>
      <c r="F323" s="44">
        <v>3.0000000000000001E-3</v>
      </c>
    </row>
    <row r="324" spans="1:7" s="31" customFormat="1" outlineLevel="1" x14ac:dyDescent="0.25">
      <c r="A324" s="41" t="s">
        <v>711</v>
      </c>
      <c r="B324" s="42" t="s">
        <v>152</v>
      </c>
      <c r="C324" s="43" t="s">
        <v>153</v>
      </c>
      <c r="D324" s="42" t="s">
        <v>30</v>
      </c>
      <c r="E324" s="44">
        <v>0.02</v>
      </c>
      <c r="F324" s="44">
        <v>6.0000000000000001E-3</v>
      </c>
    </row>
    <row r="325" spans="1:7" s="36" customFormat="1" outlineLevel="1" x14ac:dyDescent="0.25">
      <c r="A325" s="37" t="s">
        <v>712</v>
      </c>
      <c r="B325" s="38" t="s">
        <v>653</v>
      </c>
      <c r="C325" s="39" t="s">
        <v>654</v>
      </c>
      <c r="D325" s="38" t="s">
        <v>61</v>
      </c>
      <c r="E325" s="40">
        <v>3.2000000000000001E-2</v>
      </c>
      <c r="F325" s="40">
        <v>9.5999999999999992E-3</v>
      </c>
    </row>
    <row r="326" spans="1:7" s="36" customFormat="1" outlineLevel="1" x14ac:dyDescent="0.25">
      <c r="A326" s="47" t="s">
        <v>713</v>
      </c>
      <c r="B326" s="48" t="s">
        <v>656</v>
      </c>
      <c r="C326" s="49" t="s">
        <v>657</v>
      </c>
      <c r="D326" s="48" t="s">
        <v>166</v>
      </c>
      <c r="E326" s="50">
        <v>5</v>
      </c>
      <c r="F326" s="51">
        <v>1.5</v>
      </c>
    </row>
    <row r="327" spans="1:7" s="1" customFormat="1" ht="63.75" x14ac:dyDescent="0.25">
      <c r="A327" s="18" t="s">
        <v>294</v>
      </c>
      <c r="B327" s="19" t="s">
        <v>658</v>
      </c>
      <c r="C327" s="19" t="s">
        <v>659</v>
      </c>
      <c r="D327" s="20" t="s">
        <v>660</v>
      </c>
      <c r="E327" s="144">
        <v>0.3</v>
      </c>
      <c r="F327" s="145"/>
      <c r="G327" s="21"/>
    </row>
    <row r="328" spans="1:7" s="26" customFormat="1" outlineLevel="1" x14ac:dyDescent="0.25">
      <c r="A328" s="22" t="s">
        <v>714</v>
      </c>
      <c r="B328" s="23" t="s">
        <v>19</v>
      </c>
      <c r="C328" s="24" t="s">
        <v>37</v>
      </c>
      <c r="D328" s="23" t="s">
        <v>26</v>
      </c>
      <c r="E328" s="25">
        <v>7.84</v>
      </c>
      <c r="F328" s="25">
        <v>2.3519999999999999</v>
      </c>
    </row>
    <row r="329" spans="1:7" s="36" customFormat="1" outlineLevel="1" x14ac:dyDescent="0.25">
      <c r="A329" s="32" t="s">
        <v>715</v>
      </c>
      <c r="B329" s="33" t="s">
        <v>24</v>
      </c>
      <c r="C329" s="34" t="s">
        <v>25</v>
      </c>
      <c r="D329" s="33" t="s">
        <v>26</v>
      </c>
      <c r="E329" s="35">
        <v>0.06</v>
      </c>
      <c r="F329" s="35">
        <v>1.7999999999999999E-2</v>
      </c>
    </row>
    <row r="330" spans="1:7" s="31" customFormat="1" outlineLevel="1" x14ac:dyDescent="0.25">
      <c r="A330" s="27" t="s">
        <v>716</v>
      </c>
      <c r="B330" s="28" t="s">
        <v>187</v>
      </c>
      <c r="C330" s="29" t="s">
        <v>188</v>
      </c>
      <c r="D330" s="28" t="s">
        <v>30</v>
      </c>
      <c r="E330" s="30">
        <v>0.02</v>
      </c>
      <c r="F330" s="30">
        <v>6.0000000000000001E-3</v>
      </c>
    </row>
    <row r="331" spans="1:7" s="31" customFormat="1" outlineLevel="1" x14ac:dyDescent="0.25">
      <c r="A331" s="41" t="s">
        <v>717</v>
      </c>
      <c r="B331" s="42" t="s">
        <v>649</v>
      </c>
      <c r="C331" s="43" t="s">
        <v>650</v>
      </c>
      <c r="D331" s="42" t="s">
        <v>30</v>
      </c>
      <c r="E331" s="44">
        <v>0.02</v>
      </c>
      <c r="F331" s="44">
        <v>6.0000000000000001E-3</v>
      </c>
    </row>
    <row r="332" spans="1:7" s="31" customFormat="1" outlineLevel="1" x14ac:dyDescent="0.25">
      <c r="A332" s="41" t="s">
        <v>718</v>
      </c>
      <c r="B332" s="42" t="s">
        <v>152</v>
      </c>
      <c r="C332" s="43" t="s">
        <v>153</v>
      </c>
      <c r="D332" s="42" t="s">
        <v>30</v>
      </c>
      <c r="E332" s="44">
        <v>0.04</v>
      </c>
      <c r="F332" s="44">
        <v>1.2E-2</v>
      </c>
    </row>
    <row r="333" spans="1:7" s="31" customFormat="1" ht="24" outlineLevel="1" x14ac:dyDescent="0.25">
      <c r="A333" s="41" t="s">
        <v>719</v>
      </c>
      <c r="B333" s="42" t="s">
        <v>667</v>
      </c>
      <c r="C333" s="43" t="s">
        <v>668</v>
      </c>
      <c r="D333" s="42" t="s">
        <v>30</v>
      </c>
      <c r="E333" s="44">
        <v>2.2400000000000002</v>
      </c>
      <c r="F333" s="44">
        <v>0.67200000000000004</v>
      </c>
    </row>
    <row r="334" spans="1:7" s="36" customFormat="1" outlineLevel="1" x14ac:dyDescent="0.25">
      <c r="A334" s="37" t="s">
        <v>720</v>
      </c>
      <c r="B334" s="38" t="s">
        <v>670</v>
      </c>
      <c r="C334" s="39" t="s">
        <v>671</v>
      </c>
      <c r="D334" s="38" t="s">
        <v>61</v>
      </c>
      <c r="E334" s="40">
        <v>3.1800000000000002E-2</v>
      </c>
      <c r="F334" s="40">
        <v>9.5399999999999999E-3</v>
      </c>
    </row>
    <row r="335" spans="1:7" s="36" customFormat="1" outlineLevel="1" x14ac:dyDescent="0.25">
      <c r="A335" s="47" t="s">
        <v>721</v>
      </c>
      <c r="B335" s="48" t="s">
        <v>673</v>
      </c>
      <c r="C335" s="49" t="s">
        <v>674</v>
      </c>
      <c r="D335" s="48" t="s">
        <v>61</v>
      </c>
      <c r="E335" s="51">
        <v>1.6E-2</v>
      </c>
      <c r="F335" s="51">
        <v>4.7999999999999996E-3</v>
      </c>
    </row>
    <row r="336" spans="1:7" s="1" customFormat="1" ht="63.75" x14ac:dyDescent="0.25">
      <c r="A336" s="18" t="s">
        <v>295</v>
      </c>
      <c r="B336" s="19" t="s">
        <v>675</v>
      </c>
      <c r="C336" s="19" t="s">
        <v>676</v>
      </c>
      <c r="D336" s="20" t="s">
        <v>660</v>
      </c>
      <c r="E336" s="144">
        <v>0.3</v>
      </c>
      <c r="F336" s="145"/>
      <c r="G336" s="21"/>
    </row>
    <row r="337" spans="1:7" s="26" customFormat="1" outlineLevel="1" x14ac:dyDescent="0.25">
      <c r="A337" s="22" t="s">
        <v>722</v>
      </c>
      <c r="B337" s="23" t="s">
        <v>19</v>
      </c>
      <c r="C337" s="24" t="s">
        <v>37</v>
      </c>
      <c r="D337" s="23" t="s">
        <v>26</v>
      </c>
      <c r="E337" s="25">
        <v>12.35</v>
      </c>
      <c r="F337" s="25">
        <v>3.7050000000000001</v>
      </c>
    </row>
    <row r="338" spans="1:7" s="36" customFormat="1" outlineLevel="1" x14ac:dyDescent="0.25">
      <c r="A338" s="32" t="s">
        <v>723</v>
      </c>
      <c r="B338" s="33" t="s">
        <v>24</v>
      </c>
      <c r="C338" s="34" t="s">
        <v>25</v>
      </c>
      <c r="D338" s="33" t="s">
        <v>26</v>
      </c>
      <c r="E338" s="35">
        <v>0.15</v>
      </c>
      <c r="F338" s="35">
        <v>4.4999999999999998E-2</v>
      </c>
    </row>
    <row r="339" spans="1:7" s="31" customFormat="1" outlineLevel="1" x14ac:dyDescent="0.25">
      <c r="A339" s="27" t="s">
        <v>724</v>
      </c>
      <c r="B339" s="28" t="s">
        <v>187</v>
      </c>
      <c r="C339" s="29" t="s">
        <v>188</v>
      </c>
      <c r="D339" s="28" t="s">
        <v>30</v>
      </c>
      <c r="E339" s="30">
        <v>0.05</v>
      </c>
      <c r="F339" s="30">
        <v>1.4999999999999999E-2</v>
      </c>
    </row>
    <row r="340" spans="1:7" s="31" customFormat="1" outlineLevel="1" x14ac:dyDescent="0.25">
      <c r="A340" s="41" t="s">
        <v>725</v>
      </c>
      <c r="B340" s="42" t="s">
        <v>649</v>
      </c>
      <c r="C340" s="43" t="s">
        <v>650</v>
      </c>
      <c r="D340" s="42" t="s">
        <v>30</v>
      </c>
      <c r="E340" s="44">
        <v>0.05</v>
      </c>
      <c r="F340" s="44">
        <v>1.4999999999999999E-2</v>
      </c>
    </row>
    <row r="341" spans="1:7" s="31" customFormat="1" outlineLevel="1" x14ac:dyDescent="0.25">
      <c r="A341" s="41" t="s">
        <v>726</v>
      </c>
      <c r="B341" s="42" t="s">
        <v>152</v>
      </c>
      <c r="C341" s="43" t="s">
        <v>153</v>
      </c>
      <c r="D341" s="42" t="s">
        <v>30</v>
      </c>
      <c r="E341" s="44">
        <v>0.1</v>
      </c>
      <c r="F341" s="44">
        <v>0.03</v>
      </c>
    </row>
    <row r="342" spans="1:7" s="31" customFormat="1" ht="24" outlineLevel="1" x14ac:dyDescent="0.25">
      <c r="A342" s="41" t="s">
        <v>727</v>
      </c>
      <c r="B342" s="42" t="s">
        <v>667</v>
      </c>
      <c r="C342" s="43" t="s">
        <v>668</v>
      </c>
      <c r="D342" s="42" t="s">
        <v>30</v>
      </c>
      <c r="E342" s="44">
        <v>3.25</v>
      </c>
      <c r="F342" s="44">
        <v>0.97499999999999998</v>
      </c>
    </row>
    <row r="343" spans="1:7" s="36" customFormat="1" outlineLevel="1" x14ac:dyDescent="0.25">
      <c r="A343" s="37" t="s">
        <v>728</v>
      </c>
      <c r="B343" s="38" t="s">
        <v>673</v>
      </c>
      <c r="C343" s="39" t="s">
        <v>674</v>
      </c>
      <c r="D343" s="38" t="s">
        <v>61</v>
      </c>
      <c r="E343" s="40">
        <v>0.04</v>
      </c>
      <c r="F343" s="40">
        <v>1.2E-2</v>
      </c>
    </row>
    <row r="344" spans="1:7" s="36" customFormat="1" outlineLevel="1" x14ac:dyDescent="0.25">
      <c r="A344" s="47" t="s">
        <v>729</v>
      </c>
      <c r="B344" s="48" t="s">
        <v>684</v>
      </c>
      <c r="C344" s="49" t="s">
        <v>685</v>
      </c>
      <c r="D344" s="48" t="s">
        <v>61</v>
      </c>
      <c r="E344" s="51">
        <v>9.5000000000000001E-2</v>
      </c>
      <c r="F344" s="51">
        <v>2.8500000000000001E-2</v>
      </c>
    </row>
    <row r="345" spans="1:7" s="1" customFormat="1" ht="25.5" x14ac:dyDescent="0.25">
      <c r="A345" s="18" t="s">
        <v>296</v>
      </c>
      <c r="B345" s="19" t="s">
        <v>575</v>
      </c>
      <c r="C345" s="19" t="s">
        <v>730</v>
      </c>
      <c r="D345" s="20" t="s">
        <v>61</v>
      </c>
      <c r="E345" s="144">
        <v>0.51200000000000001</v>
      </c>
      <c r="F345" s="145"/>
      <c r="G345" s="21"/>
    </row>
    <row r="346" spans="1:7" s="26" customFormat="1" outlineLevel="1" x14ac:dyDescent="0.25">
      <c r="A346" s="22" t="s">
        <v>731</v>
      </c>
      <c r="B346" s="23" t="s">
        <v>19</v>
      </c>
      <c r="C346" s="24" t="s">
        <v>37</v>
      </c>
      <c r="D346" s="23" t="s">
        <v>26</v>
      </c>
      <c r="E346" s="45">
        <v>161</v>
      </c>
      <c r="F346" s="25">
        <v>82.432000000000002</v>
      </c>
    </row>
    <row r="347" spans="1:7" s="36" customFormat="1" outlineLevel="1" x14ac:dyDescent="0.25">
      <c r="A347" s="32" t="s">
        <v>732</v>
      </c>
      <c r="B347" s="33" t="s">
        <v>24</v>
      </c>
      <c r="C347" s="34" t="s">
        <v>25</v>
      </c>
      <c r="D347" s="33" t="s">
        <v>26</v>
      </c>
      <c r="E347" s="35">
        <v>34.020000000000003</v>
      </c>
      <c r="F347" s="35">
        <v>17.418199999999999</v>
      </c>
    </row>
    <row r="348" spans="1:7" s="31" customFormat="1" ht="24" outlineLevel="1" x14ac:dyDescent="0.25">
      <c r="A348" s="27" t="s">
        <v>733</v>
      </c>
      <c r="B348" s="28" t="s">
        <v>93</v>
      </c>
      <c r="C348" s="29" t="s">
        <v>94</v>
      </c>
      <c r="D348" s="28" t="s">
        <v>30</v>
      </c>
      <c r="E348" s="30">
        <v>0.92</v>
      </c>
      <c r="F348" s="30">
        <v>0.47104000000000001</v>
      </c>
    </row>
    <row r="349" spans="1:7" s="31" customFormat="1" ht="24" outlineLevel="1" x14ac:dyDescent="0.25">
      <c r="A349" s="41" t="s">
        <v>734</v>
      </c>
      <c r="B349" s="42" t="s">
        <v>143</v>
      </c>
      <c r="C349" s="43" t="s">
        <v>144</v>
      </c>
      <c r="D349" s="42" t="s">
        <v>30</v>
      </c>
      <c r="E349" s="44">
        <v>10.65</v>
      </c>
      <c r="F349" s="44">
        <v>5.4527999999999999</v>
      </c>
    </row>
    <row r="350" spans="1:7" s="31" customFormat="1" ht="24" outlineLevel="1" x14ac:dyDescent="0.25">
      <c r="A350" s="41" t="s">
        <v>735</v>
      </c>
      <c r="B350" s="42" t="s">
        <v>582</v>
      </c>
      <c r="C350" s="43" t="s">
        <v>583</v>
      </c>
      <c r="D350" s="42" t="s">
        <v>30</v>
      </c>
      <c r="E350" s="44">
        <v>21.5</v>
      </c>
      <c r="F350" s="44">
        <v>11.007999999999999</v>
      </c>
    </row>
    <row r="351" spans="1:7" s="31" customFormat="1" outlineLevel="1" x14ac:dyDescent="0.25">
      <c r="A351" s="41" t="s">
        <v>736</v>
      </c>
      <c r="B351" s="42" t="s">
        <v>585</v>
      </c>
      <c r="C351" s="43" t="s">
        <v>586</v>
      </c>
      <c r="D351" s="42" t="s">
        <v>30</v>
      </c>
      <c r="E351" s="44">
        <v>0.79</v>
      </c>
      <c r="F351" s="44">
        <v>0.40448000000000001</v>
      </c>
    </row>
    <row r="352" spans="1:7" s="31" customFormat="1" outlineLevel="1" x14ac:dyDescent="0.25">
      <c r="A352" s="41" t="s">
        <v>737</v>
      </c>
      <c r="B352" s="42" t="s">
        <v>588</v>
      </c>
      <c r="C352" s="43" t="s">
        <v>589</v>
      </c>
      <c r="D352" s="42" t="s">
        <v>30</v>
      </c>
      <c r="E352" s="44">
        <v>2.35</v>
      </c>
      <c r="F352" s="44">
        <v>1.2032</v>
      </c>
    </row>
    <row r="353" spans="1:7" s="31" customFormat="1" outlineLevel="1" x14ac:dyDescent="0.25">
      <c r="A353" s="41" t="s">
        <v>738</v>
      </c>
      <c r="B353" s="42" t="s">
        <v>216</v>
      </c>
      <c r="C353" s="43" t="s">
        <v>217</v>
      </c>
      <c r="D353" s="42" t="s">
        <v>30</v>
      </c>
      <c r="E353" s="44">
        <v>7.39</v>
      </c>
      <c r="F353" s="44">
        <v>3.7837000000000001</v>
      </c>
    </row>
    <row r="354" spans="1:7" s="31" customFormat="1" outlineLevel="1" x14ac:dyDescent="0.25">
      <c r="A354" s="41" t="s">
        <v>739</v>
      </c>
      <c r="B354" s="42" t="s">
        <v>592</v>
      </c>
      <c r="C354" s="43" t="s">
        <v>593</v>
      </c>
      <c r="D354" s="42" t="s">
        <v>30</v>
      </c>
      <c r="E354" s="44">
        <v>0.16</v>
      </c>
      <c r="F354" s="44">
        <v>8.1920000000000007E-2</v>
      </c>
    </row>
    <row r="355" spans="1:7" s="31" customFormat="1" outlineLevel="1" x14ac:dyDescent="0.25">
      <c r="A355" s="41" t="s">
        <v>740</v>
      </c>
      <c r="B355" s="42" t="s">
        <v>595</v>
      </c>
      <c r="C355" s="43" t="s">
        <v>596</v>
      </c>
      <c r="D355" s="42" t="s">
        <v>30</v>
      </c>
      <c r="E355" s="44">
        <v>0.95</v>
      </c>
      <c r="F355" s="44">
        <v>0.4864</v>
      </c>
    </row>
    <row r="356" spans="1:7" s="31" customFormat="1" outlineLevel="1" x14ac:dyDescent="0.25">
      <c r="A356" s="41" t="s">
        <v>741</v>
      </c>
      <c r="B356" s="42" t="s">
        <v>598</v>
      </c>
      <c r="C356" s="43" t="s">
        <v>599</v>
      </c>
      <c r="D356" s="42" t="s">
        <v>30</v>
      </c>
      <c r="E356" s="44">
        <v>0.85</v>
      </c>
      <c r="F356" s="44">
        <v>0.43519999999999998</v>
      </c>
    </row>
    <row r="357" spans="1:7" s="36" customFormat="1" outlineLevel="1" x14ac:dyDescent="0.25">
      <c r="A357" s="37" t="s">
        <v>742</v>
      </c>
      <c r="B357" s="38" t="s">
        <v>601</v>
      </c>
      <c r="C357" s="39" t="s">
        <v>602</v>
      </c>
      <c r="D357" s="38" t="s">
        <v>61</v>
      </c>
      <c r="E357" s="40">
        <v>3.6000000000000002E-4</v>
      </c>
      <c r="F357" s="40">
        <v>1.8430000000000001E-4</v>
      </c>
    </row>
    <row r="358" spans="1:7" s="36" customFormat="1" outlineLevel="1" x14ac:dyDescent="0.25">
      <c r="A358" s="47" t="s">
        <v>743</v>
      </c>
      <c r="B358" s="48" t="s">
        <v>604</v>
      </c>
      <c r="C358" s="49" t="s">
        <v>605</v>
      </c>
      <c r="D358" s="48" t="s">
        <v>166</v>
      </c>
      <c r="E358" s="51">
        <v>0.06</v>
      </c>
      <c r="F358" s="51">
        <v>3.0720000000000001E-2</v>
      </c>
    </row>
    <row r="359" spans="1:7" s="36" customFormat="1" outlineLevel="1" x14ac:dyDescent="0.25">
      <c r="A359" s="47" t="s">
        <v>744</v>
      </c>
      <c r="B359" s="48" t="s">
        <v>607</v>
      </c>
      <c r="C359" s="49" t="s">
        <v>608</v>
      </c>
      <c r="D359" s="48" t="s">
        <v>61</v>
      </c>
      <c r="E359" s="51">
        <v>1.0000000000000001E-5</v>
      </c>
      <c r="F359" s="51">
        <v>5.1000000000000003E-6</v>
      </c>
    </row>
    <row r="360" spans="1:7" s="36" customFormat="1" outlineLevel="1" x14ac:dyDescent="0.25">
      <c r="A360" s="47" t="s">
        <v>745</v>
      </c>
      <c r="B360" s="48" t="s">
        <v>610</v>
      </c>
      <c r="C360" s="49" t="s">
        <v>611</v>
      </c>
      <c r="D360" s="48" t="s">
        <v>166</v>
      </c>
      <c r="E360" s="51">
        <v>0.08</v>
      </c>
      <c r="F360" s="51">
        <v>4.0960000000000003E-2</v>
      </c>
    </row>
    <row r="361" spans="1:7" s="36" customFormat="1" ht="36" outlineLevel="1" x14ac:dyDescent="0.25">
      <c r="A361" s="47" t="s">
        <v>746</v>
      </c>
      <c r="B361" s="48" t="s">
        <v>613</v>
      </c>
      <c r="C361" s="49" t="s">
        <v>614</v>
      </c>
      <c r="D361" s="48" t="s">
        <v>61</v>
      </c>
      <c r="E361" s="51">
        <v>1.2999999999999999E-3</v>
      </c>
      <c r="F361" s="51">
        <v>6.6560000000000002E-4</v>
      </c>
    </row>
    <row r="362" spans="1:7" s="36" customFormat="1" outlineLevel="1" x14ac:dyDescent="0.25">
      <c r="A362" s="47" t="s">
        <v>747</v>
      </c>
      <c r="B362" s="48" t="s">
        <v>616</v>
      </c>
      <c r="C362" s="49" t="s">
        <v>617</v>
      </c>
      <c r="D362" s="48" t="s">
        <v>76</v>
      </c>
      <c r="E362" s="51">
        <v>0.61</v>
      </c>
      <c r="F362" s="51">
        <v>0.31231999999999999</v>
      </c>
    </row>
    <row r="363" spans="1:7" s="36" customFormat="1" outlineLevel="1" x14ac:dyDescent="0.25">
      <c r="A363" s="47" t="s">
        <v>748</v>
      </c>
      <c r="B363" s="48" t="s">
        <v>619</v>
      </c>
      <c r="C363" s="49" t="s">
        <v>620</v>
      </c>
      <c r="D363" s="48" t="s">
        <v>61</v>
      </c>
      <c r="E363" s="51">
        <v>1.0000000000000001E-5</v>
      </c>
      <c r="F363" s="51">
        <v>5.1000000000000003E-6</v>
      </c>
    </row>
    <row r="364" spans="1:7" s="36" customFormat="1" outlineLevel="1" x14ac:dyDescent="0.25">
      <c r="A364" s="47" t="s">
        <v>749</v>
      </c>
      <c r="B364" s="48" t="s">
        <v>622</v>
      </c>
      <c r="C364" s="49" t="s">
        <v>623</v>
      </c>
      <c r="D364" s="48" t="s">
        <v>61</v>
      </c>
      <c r="E364" s="51">
        <v>5.7000000000000002E-3</v>
      </c>
      <c r="F364" s="51">
        <v>2.9183999999999998E-3</v>
      </c>
    </row>
    <row r="365" spans="1:7" s="36" customFormat="1" outlineLevel="1" x14ac:dyDescent="0.25">
      <c r="A365" s="47" t="s">
        <v>750</v>
      </c>
      <c r="B365" s="48" t="s">
        <v>625</v>
      </c>
      <c r="C365" s="49" t="s">
        <v>626</v>
      </c>
      <c r="D365" s="48" t="s">
        <v>547</v>
      </c>
      <c r="E365" s="51">
        <v>3.7</v>
      </c>
      <c r="F365" s="51">
        <v>1.8944000000000001</v>
      </c>
    </row>
    <row r="366" spans="1:7" s="36" customFormat="1" outlineLevel="1" x14ac:dyDescent="0.25">
      <c r="A366" s="47" t="s">
        <v>751</v>
      </c>
      <c r="B366" s="48" t="s">
        <v>628</v>
      </c>
      <c r="C366" s="49" t="s">
        <v>629</v>
      </c>
      <c r="D366" s="48" t="s">
        <v>166</v>
      </c>
      <c r="E366" s="51">
        <v>0.03</v>
      </c>
      <c r="F366" s="51">
        <v>1.536E-2</v>
      </c>
    </row>
    <row r="367" spans="1:7" s="36" customFormat="1" outlineLevel="1" x14ac:dyDescent="0.25">
      <c r="A367" s="47" t="s">
        <v>752</v>
      </c>
      <c r="B367" s="48" t="s">
        <v>631</v>
      </c>
      <c r="C367" s="49" t="s">
        <v>632</v>
      </c>
      <c r="D367" s="48" t="s">
        <v>166</v>
      </c>
      <c r="E367" s="51">
        <v>8.7999999999999995E-2</v>
      </c>
      <c r="F367" s="51">
        <v>4.5055999999999999E-2</v>
      </c>
    </row>
    <row r="368" spans="1:7" s="1" customFormat="1" x14ac:dyDescent="0.25">
      <c r="A368" s="18" t="s">
        <v>297</v>
      </c>
      <c r="B368" s="19"/>
      <c r="C368" s="19" t="s">
        <v>709</v>
      </c>
      <c r="D368" s="20" t="s">
        <v>547</v>
      </c>
      <c r="E368" s="187">
        <v>1</v>
      </c>
      <c r="F368" s="188"/>
      <c r="G368" s="21"/>
    </row>
    <row r="369" spans="1:7" s="1" customFormat="1" ht="63.75" x14ac:dyDescent="0.25">
      <c r="A369" s="18" t="s">
        <v>298</v>
      </c>
      <c r="B369" s="19" t="s">
        <v>634</v>
      </c>
      <c r="C369" s="19" t="s">
        <v>635</v>
      </c>
      <c r="D369" s="20" t="s">
        <v>636</v>
      </c>
      <c r="E369" s="146">
        <v>30</v>
      </c>
      <c r="F369" s="147"/>
      <c r="G369" s="21"/>
    </row>
    <row r="370" spans="1:7" s="26" customFormat="1" outlineLevel="1" x14ac:dyDescent="0.25">
      <c r="A370" s="22" t="s">
        <v>753</v>
      </c>
      <c r="B370" s="23" t="s">
        <v>19</v>
      </c>
      <c r="C370" s="24" t="s">
        <v>37</v>
      </c>
      <c r="D370" s="23" t="s">
        <v>26</v>
      </c>
      <c r="E370" s="25">
        <v>0.9</v>
      </c>
      <c r="F370" s="45">
        <v>27</v>
      </c>
    </row>
    <row r="371" spans="1:7" s="1" customFormat="1" ht="76.5" x14ac:dyDescent="0.25">
      <c r="A371" s="18" t="s">
        <v>299</v>
      </c>
      <c r="B371" s="19" t="s">
        <v>637</v>
      </c>
      <c r="C371" s="19" t="s">
        <v>638</v>
      </c>
      <c r="D371" s="20" t="s">
        <v>639</v>
      </c>
      <c r="E371" s="144">
        <v>0.3</v>
      </c>
      <c r="F371" s="145"/>
      <c r="G371" s="21"/>
    </row>
    <row r="372" spans="1:7" s="26" customFormat="1" outlineLevel="1" x14ac:dyDescent="0.25">
      <c r="A372" s="22" t="s">
        <v>754</v>
      </c>
      <c r="B372" s="23" t="s">
        <v>19</v>
      </c>
      <c r="C372" s="24" t="s">
        <v>37</v>
      </c>
      <c r="D372" s="23" t="s">
        <v>26</v>
      </c>
      <c r="E372" s="45">
        <v>10</v>
      </c>
      <c r="F372" s="45">
        <v>3</v>
      </c>
    </row>
    <row r="373" spans="1:7" s="31" customFormat="1" outlineLevel="1" x14ac:dyDescent="0.25">
      <c r="A373" s="27" t="s">
        <v>755</v>
      </c>
      <c r="B373" s="28" t="s">
        <v>642</v>
      </c>
      <c r="C373" s="29" t="s">
        <v>643</v>
      </c>
      <c r="D373" s="28" t="s">
        <v>30</v>
      </c>
      <c r="E373" s="100">
        <v>10</v>
      </c>
      <c r="F373" s="100">
        <v>3</v>
      </c>
    </row>
    <row r="374" spans="1:7" s="1" customFormat="1" ht="63.75" x14ac:dyDescent="0.25">
      <c r="A374" s="18" t="s">
        <v>300</v>
      </c>
      <c r="B374" s="19" t="s">
        <v>644</v>
      </c>
      <c r="C374" s="19" t="s">
        <v>645</v>
      </c>
      <c r="D374" s="20" t="s">
        <v>646</v>
      </c>
      <c r="E374" s="144">
        <v>0.3</v>
      </c>
      <c r="F374" s="145"/>
      <c r="G374" s="21"/>
    </row>
    <row r="375" spans="1:7" s="26" customFormat="1" outlineLevel="1" x14ac:dyDescent="0.25">
      <c r="A375" s="22" t="s">
        <v>756</v>
      </c>
      <c r="B375" s="23" t="s">
        <v>19</v>
      </c>
      <c r="C375" s="24" t="s">
        <v>37</v>
      </c>
      <c r="D375" s="23" t="s">
        <v>26</v>
      </c>
      <c r="E375" s="25">
        <v>9.08</v>
      </c>
      <c r="F375" s="25">
        <v>2.7240000000000002</v>
      </c>
    </row>
    <row r="376" spans="1:7" s="36" customFormat="1" outlineLevel="1" x14ac:dyDescent="0.25">
      <c r="A376" s="32" t="s">
        <v>757</v>
      </c>
      <c r="B376" s="33" t="s">
        <v>24</v>
      </c>
      <c r="C376" s="34" t="s">
        <v>25</v>
      </c>
      <c r="D376" s="33" t="s">
        <v>26</v>
      </c>
      <c r="E376" s="35">
        <v>0.03</v>
      </c>
      <c r="F376" s="35">
        <v>8.9999999999999993E-3</v>
      </c>
    </row>
    <row r="377" spans="1:7" s="31" customFormat="1" outlineLevel="1" x14ac:dyDescent="0.25">
      <c r="A377" s="27" t="s">
        <v>758</v>
      </c>
      <c r="B377" s="28" t="s">
        <v>187</v>
      </c>
      <c r="C377" s="29" t="s">
        <v>188</v>
      </c>
      <c r="D377" s="28" t="s">
        <v>30</v>
      </c>
      <c r="E377" s="30">
        <v>0.01</v>
      </c>
      <c r="F377" s="30">
        <v>3.0000000000000001E-3</v>
      </c>
    </row>
    <row r="378" spans="1:7" s="31" customFormat="1" outlineLevel="1" x14ac:dyDescent="0.25">
      <c r="A378" s="41" t="s">
        <v>759</v>
      </c>
      <c r="B378" s="42" t="s">
        <v>649</v>
      </c>
      <c r="C378" s="43" t="s">
        <v>650</v>
      </c>
      <c r="D378" s="42" t="s">
        <v>30</v>
      </c>
      <c r="E378" s="44">
        <v>0.01</v>
      </c>
      <c r="F378" s="44">
        <v>3.0000000000000001E-3</v>
      </c>
    </row>
    <row r="379" spans="1:7" s="31" customFormat="1" outlineLevel="1" x14ac:dyDescent="0.25">
      <c r="A379" s="41" t="s">
        <v>760</v>
      </c>
      <c r="B379" s="42" t="s">
        <v>152</v>
      </c>
      <c r="C379" s="43" t="s">
        <v>153</v>
      </c>
      <c r="D379" s="42" t="s">
        <v>30</v>
      </c>
      <c r="E379" s="44">
        <v>0.02</v>
      </c>
      <c r="F379" s="44">
        <v>6.0000000000000001E-3</v>
      </c>
    </row>
    <row r="380" spans="1:7" s="36" customFormat="1" outlineLevel="1" x14ac:dyDescent="0.25">
      <c r="A380" s="37" t="s">
        <v>761</v>
      </c>
      <c r="B380" s="38" t="s">
        <v>653</v>
      </c>
      <c r="C380" s="39" t="s">
        <v>654</v>
      </c>
      <c r="D380" s="38" t="s">
        <v>61</v>
      </c>
      <c r="E380" s="40">
        <v>3.2000000000000001E-2</v>
      </c>
      <c r="F380" s="40">
        <v>9.5999999999999992E-3</v>
      </c>
    </row>
    <row r="381" spans="1:7" s="36" customFormat="1" outlineLevel="1" x14ac:dyDescent="0.25">
      <c r="A381" s="47" t="s">
        <v>762</v>
      </c>
      <c r="B381" s="48" t="s">
        <v>656</v>
      </c>
      <c r="C381" s="49" t="s">
        <v>657</v>
      </c>
      <c r="D381" s="48" t="s">
        <v>166</v>
      </c>
      <c r="E381" s="50">
        <v>5</v>
      </c>
      <c r="F381" s="51">
        <v>1.5</v>
      </c>
    </row>
    <row r="382" spans="1:7" s="1" customFormat="1" ht="63.75" x14ac:dyDescent="0.25">
      <c r="A382" s="18" t="s">
        <v>301</v>
      </c>
      <c r="B382" s="19" t="s">
        <v>658</v>
      </c>
      <c r="C382" s="19" t="s">
        <v>659</v>
      </c>
      <c r="D382" s="20" t="s">
        <v>660</v>
      </c>
      <c r="E382" s="144">
        <v>0.3</v>
      </c>
      <c r="F382" s="145"/>
      <c r="G382" s="21"/>
    </row>
    <row r="383" spans="1:7" s="26" customFormat="1" outlineLevel="1" x14ac:dyDescent="0.25">
      <c r="A383" s="22" t="s">
        <v>763</v>
      </c>
      <c r="B383" s="23" t="s">
        <v>19</v>
      </c>
      <c r="C383" s="24" t="s">
        <v>37</v>
      </c>
      <c r="D383" s="23" t="s">
        <v>26</v>
      </c>
      <c r="E383" s="25">
        <v>7.84</v>
      </c>
      <c r="F383" s="25">
        <v>2.3519999999999999</v>
      </c>
    </row>
    <row r="384" spans="1:7" s="36" customFormat="1" outlineLevel="1" x14ac:dyDescent="0.25">
      <c r="A384" s="32" t="s">
        <v>764</v>
      </c>
      <c r="B384" s="33" t="s">
        <v>24</v>
      </c>
      <c r="C384" s="34" t="s">
        <v>25</v>
      </c>
      <c r="D384" s="33" t="s">
        <v>26</v>
      </c>
      <c r="E384" s="35">
        <v>0.06</v>
      </c>
      <c r="F384" s="35">
        <v>1.7999999999999999E-2</v>
      </c>
    </row>
    <row r="385" spans="1:7" s="31" customFormat="1" outlineLevel="1" x14ac:dyDescent="0.25">
      <c r="A385" s="27" t="s">
        <v>765</v>
      </c>
      <c r="B385" s="28" t="s">
        <v>187</v>
      </c>
      <c r="C385" s="29" t="s">
        <v>188</v>
      </c>
      <c r="D385" s="28" t="s">
        <v>30</v>
      </c>
      <c r="E385" s="30">
        <v>0.02</v>
      </c>
      <c r="F385" s="30">
        <v>6.0000000000000001E-3</v>
      </c>
    </row>
    <row r="386" spans="1:7" s="31" customFormat="1" outlineLevel="1" x14ac:dyDescent="0.25">
      <c r="A386" s="41" t="s">
        <v>766</v>
      </c>
      <c r="B386" s="42" t="s">
        <v>649</v>
      </c>
      <c r="C386" s="43" t="s">
        <v>650</v>
      </c>
      <c r="D386" s="42" t="s">
        <v>30</v>
      </c>
      <c r="E386" s="44">
        <v>0.02</v>
      </c>
      <c r="F386" s="44">
        <v>6.0000000000000001E-3</v>
      </c>
    </row>
    <row r="387" spans="1:7" s="31" customFormat="1" outlineLevel="1" x14ac:dyDescent="0.25">
      <c r="A387" s="41" t="s">
        <v>767</v>
      </c>
      <c r="B387" s="42" t="s">
        <v>152</v>
      </c>
      <c r="C387" s="43" t="s">
        <v>153</v>
      </c>
      <c r="D387" s="42" t="s">
        <v>30</v>
      </c>
      <c r="E387" s="44">
        <v>0.04</v>
      </c>
      <c r="F387" s="44">
        <v>1.2E-2</v>
      </c>
    </row>
    <row r="388" spans="1:7" s="31" customFormat="1" ht="24" outlineLevel="1" x14ac:dyDescent="0.25">
      <c r="A388" s="41" t="s">
        <v>768</v>
      </c>
      <c r="B388" s="42" t="s">
        <v>667</v>
      </c>
      <c r="C388" s="43" t="s">
        <v>668</v>
      </c>
      <c r="D388" s="42" t="s">
        <v>30</v>
      </c>
      <c r="E388" s="44">
        <v>2.2400000000000002</v>
      </c>
      <c r="F388" s="44">
        <v>0.67200000000000004</v>
      </c>
    </row>
    <row r="389" spans="1:7" s="36" customFormat="1" outlineLevel="1" x14ac:dyDescent="0.25">
      <c r="A389" s="37" t="s">
        <v>769</v>
      </c>
      <c r="B389" s="38" t="s">
        <v>670</v>
      </c>
      <c r="C389" s="39" t="s">
        <v>671</v>
      </c>
      <c r="D389" s="38" t="s">
        <v>61</v>
      </c>
      <c r="E389" s="40">
        <v>3.1800000000000002E-2</v>
      </c>
      <c r="F389" s="40">
        <v>9.5399999999999999E-3</v>
      </c>
    </row>
    <row r="390" spans="1:7" s="36" customFormat="1" outlineLevel="1" x14ac:dyDescent="0.25">
      <c r="A390" s="47" t="s">
        <v>770</v>
      </c>
      <c r="B390" s="48" t="s">
        <v>673</v>
      </c>
      <c r="C390" s="49" t="s">
        <v>674</v>
      </c>
      <c r="D390" s="48" t="s">
        <v>61</v>
      </c>
      <c r="E390" s="51">
        <v>1.6E-2</v>
      </c>
      <c r="F390" s="51">
        <v>4.7999999999999996E-3</v>
      </c>
    </row>
    <row r="391" spans="1:7" s="1" customFormat="1" ht="63.75" x14ac:dyDescent="0.25">
      <c r="A391" s="18" t="s">
        <v>303</v>
      </c>
      <c r="B391" s="19" t="s">
        <v>675</v>
      </c>
      <c r="C391" s="19" t="s">
        <v>676</v>
      </c>
      <c r="D391" s="20" t="s">
        <v>660</v>
      </c>
      <c r="E391" s="144">
        <v>0.3</v>
      </c>
      <c r="F391" s="145"/>
      <c r="G391" s="21"/>
    </row>
    <row r="392" spans="1:7" s="26" customFormat="1" outlineLevel="1" x14ac:dyDescent="0.25">
      <c r="A392" s="22" t="s">
        <v>771</v>
      </c>
      <c r="B392" s="23" t="s">
        <v>19</v>
      </c>
      <c r="C392" s="24" t="s">
        <v>37</v>
      </c>
      <c r="D392" s="23" t="s">
        <v>26</v>
      </c>
      <c r="E392" s="25">
        <v>12.35</v>
      </c>
      <c r="F392" s="25">
        <v>3.7050000000000001</v>
      </c>
    </row>
    <row r="393" spans="1:7" s="36" customFormat="1" outlineLevel="1" x14ac:dyDescent="0.25">
      <c r="A393" s="32" t="s">
        <v>772</v>
      </c>
      <c r="B393" s="33" t="s">
        <v>24</v>
      </c>
      <c r="C393" s="34" t="s">
        <v>25</v>
      </c>
      <c r="D393" s="33" t="s">
        <v>26</v>
      </c>
      <c r="E393" s="35">
        <v>0.15</v>
      </c>
      <c r="F393" s="35">
        <v>4.4999999999999998E-2</v>
      </c>
    </row>
    <row r="394" spans="1:7" s="31" customFormat="1" outlineLevel="1" x14ac:dyDescent="0.25">
      <c r="A394" s="27" t="s">
        <v>773</v>
      </c>
      <c r="B394" s="28" t="s">
        <v>187</v>
      </c>
      <c r="C394" s="29" t="s">
        <v>188</v>
      </c>
      <c r="D394" s="28" t="s">
        <v>30</v>
      </c>
      <c r="E394" s="30">
        <v>0.05</v>
      </c>
      <c r="F394" s="30">
        <v>1.4999999999999999E-2</v>
      </c>
    </row>
    <row r="395" spans="1:7" s="31" customFormat="1" outlineLevel="1" x14ac:dyDescent="0.25">
      <c r="A395" s="41" t="s">
        <v>774</v>
      </c>
      <c r="B395" s="42" t="s">
        <v>649</v>
      </c>
      <c r="C395" s="43" t="s">
        <v>650</v>
      </c>
      <c r="D395" s="42" t="s">
        <v>30</v>
      </c>
      <c r="E395" s="44">
        <v>0.05</v>
      </c>
      <c r="F395" s="44">
        <v>1.4999999999999999E-2</v>
      </c>
    </row>
    <row r="396" spans="1:7" s="31" customFormat="1" outlineLevel="1" x14ac:dyDescent="0.25">
      <c r="A396" s="41" t="s">
        <v>775</v>
      </c>
      <c r="B396" s="42" t="s">
        <v>152</v>
      </c>
      <c r="C396" s="43" t="s">
        <v>153</v>
      </c>
      <c r="D396" s="42" t="s">
        <v>30</v>
      </c>
      <c r="E396" s="44">
        <v>0.1</v>
      </c>
      <c r="F396" s="44">
        <v>0.03</v>
      </c>
    </row>
    <row r="397" spans="1:7" s="31" customFormat="1" ht="24" outlineLevel="1" x14ac:dyDescent="0.25">
      <c r="A397" s="41" t="s">
        <v>776</v>
      </c>
      <c r="B397" s="42" t="s">
        <v>667</v>
      </c>
      <c r="C397" s="43" t="s">
        <v>668</v>
      </c>
      <c r="D397" s="42" t="s">
        <v>30</v>
      </c>
      <c r="E397" s="44">
        <v>3.25</v>
      </c>
      <c r="F397" s="44">
        <v>0.97499999999999998</v>
      </c>
    </row>
    <row r="398" spans="1:7" s="36" customFormat="1" outlineLevel="1" x14ac:dyDescent="0.25">
      <c r="A398" s="37" t="s">
        <v>777</v>
      </c>
      <c r="B398" s="38" t="s">
        <v>673</v>
      </c>
      <c r="C398" s="39" t="s">
        <v>674</v>
      </c>
      <c r="D398" s="38" t="s">
        <v>61</v>
      </c>
      <c r="E398" s="40">
        <v>0.04</v>
      </c>
      <c r="F398" s="40">
        <v>1.2E-2</v>
      </c>
    </row>
    <row r="399" spans="1:7" s="36" customFormat="1" outlineLevel="1" x14ac:dyDescent="0.25">
      <c r="A399" s="47" t="s">
        <v>778</v>
      </c>
      <c r="B399" s="48" t="s">
        <v>684</v>
      </c>
      <c r="C399" s="49" t="s">
        <v>685</v>
      </c>
      <c r="D399" s="48" t="s">
        <v>61</v>
      </c>
      <c r="E399" s="51">
        <v>9.5000000000000001E-2</v>
      </c>
      <c r="F399" s="51">
        <v>2.8500000000000001E-2</v>
      </c>
    </row>
    <row r="400" spans="1:7" s="1" customFormat="1" ht="25.5" x14ac:dyDescent="0.25">
      <c r="A400" s="18" t="s">
        <v>304</v>
      </c>
      <c r="B400" s="19" t="s">
        <v>575</v>
      </c>
      <c r="C400" s="19" t="s">
        <v>779</v>
      </c>
      <c r="D400" s="20" t="s">
        <v>61</v>
      </c>
      <c r="E400" s="144">
        <v>0.28999999999999998</v>
      </c>
      <c r="F400" s="145"/>
      <c r="G400" s="21"/>
    </row>
    <row r="401" spans="1:6" s="26" customFormat="1" outlineLevel="1" x14ac:dyDescent="0.25">
      <c r="A401" s="22" t="s">
        <v>780</v>
      </c>
      <c r="B401" s="23" t="s">
        <v>19</v>
      </c>
      <c r="C401" s="24" t="s">
        <v>37</v>
      </c>
      <c r="D401" s="23" t="s">
        <v>26</v>
      </c>
      <c r="E401" s="45">
        <v>161</v>
      </c>
      <c r="F401" s="25">
        <v>46.69</v>
      </c>
    </row>
    <row r="402" spans="1:6" s="36" customFormat="1" outlineLevel="1" x14ac:dyDescent="0.25">
      <c r="A402" s="32" t="s">
        <v>781</v>
      </c>
      <c r="B402" s="33" t="s">
        <v>24</v>
      </c>
      <c r="C402" s="34" t="s">
        <v>25</v>
      </c>
      <c r="D402" s="33" t="s">
        <v>26</v>
      </c>
      <c r="E402" s="35">
        <v>34.020000000000003</v>
      </c>
      <c r="F402" s="35">
        <v>9.8658000000000001</v>
      </c>
    </row>
    <row r="403" spans="1:6" s="31" customFormat="1" ht="24" outlineLevel="1" x14ac:dyDescent="0.25">
      <c r="A403" s="27" t="s">
        <v>782</v>
      </c>
      <c r="B403" s="28" t="s">
        <v>93</v>
      </c>
      <c r="C403" s="29" t="s">
        <v>94</v>
      </c>
      <c r="D403" s="28" t="s">
        <v>30</v>
      </c>
      <c r="E403" s="30">
        <v>0.92</v>
      </c>
      <c r="F403" s="30">
        <v>0.26679999999999998</v>
      </c>
    </row>
    <row r="404" spans="1:6" s="31" customFormat="1" ht="24" outlineLevel="1" x14ac:dyDescent="0.25">
      <c r="A404" s="41" t="s">
        <v>783</v>
      </c>
      <c r="B404" s="42" t="s">
        <v>143</v>
      </c>
      <c r="C404" s="43" t="s">
        <v>144</v>
      </c>
      <c r="D404" s="42" t="s">
        <v>30</v>
      </c>
      <c r="E404" s="44">
        <v>10.65</v>
      </c>
      <c r="F404" s="44">
        <v>3.0884999999999998</v>
      </c>
    </row>
    <row r="405" spans="1:6" s="31" customFormat="1" ht="24" outlineLevel="1" x14ac:dyDescent="0.25">
      <c r="A405" s="41" t="s">
        <v>784</v>
      </c>
      <c r="B405" s="42" t="s">
        <v>582</v>
      </c>
      <c r="C405" s="43" t="s">
        <v>583</v>
      </c>
      <c r="D405" s="42" t="s">
        <v>30</v>
      </c>
      <c r="E405" s="44">
        <v>21.5</v>
      </c>
      <c r="F405" s="44">
        <v>6.2350000000000003</v>
      </c>
    </row>
    <row r="406" spans="1:6" s="31" customFormat="1" outlineLevel="1" x14ac:dyDescent="0.25">
      <c r="A406" s="41" t="s">
        <v>785</v>
      </c>
      <c r="B406" s="42" t="s">
        <v>585</v>
      </c>
      <c r="C406" s="43" t="s">
        <v>586</v>
      </c>
      <c r="D406" s="42" t="s">
        <v>30</v>
      </c>
      <c r="E406" s="44">
        <v>0.79</v>
      </c>
      <c r="F406" s="44">
        <v>0.2291</v>
      </c>
    </row>
    <row r="407" spans="1:6" s="31" customFormat="1" outlineLevel="1" x14ac:dyDescent="0.25">
      <c r="A407" s="41" t="s">
        <v>786</v>
      </c>
      <c r="B407" s="42" t="s">
        <v>588</v>
      </c>
      <c r="C407" s="43" t="s">
        <v>589</v>
      </c>
      <c r="D407" s="42" t="s">
        <v>30</v>
      </c>
      <c r="E407" s="44">
        <v>2.35</v>
      </c>
      <c r="F407" s="44">
        <v>0.68149999999999999</v>
      </c>
    </row>
    <row r="408" spans="1:6" s="31" customFormat="1" outlineLevel="1" x14ac:dyDescent="0.25">
      <c r="A408" s="41" t="s">
        <v>787</v>
      </c>
      <c r="B408" s="42" t="s">
        <v>216</v>
      </c>
      <c r="C408" s="43" t="s">
        <v>217</v>
      </c>
      <c r="D408" s="42" t="s">
        <v>30</v>
      </c>
      <c r="E408" s="44">
        <v>7.39</v>
      </c>
      <c r="F408" s="44">
        <v>2.1431</v>
      </c>
    </row>
    <row r="409" spans="1:6" s="31" customFormat="1" outlineLevel="1" x14ac:dyDescent="0.25">
      <c r="A409" s="41" t="s">
        <v>788</v>
      </c>
      <c r="B409" s="42" t="s">
        <v>592</v>
      </c>
      <c r="C409" s="43" t="s">
        <v>593</v>
      </c>
      <c r="D409" s="42" t="s">
        <v>30</v>
      </c>
      <c r="E409" s="44">
        <v>0.16</v>
      </c>
      <c r="F409" s="44">
        <v>4.6399999999999997E-2</v>
      </c>
    </row>
    <row r="410" spans="1:6" s="31" customFormat="1" outlineLevel="1" x14ac:dyDescent="0.25">
      <c r="A410" s="41" t="s">
        <v>789</v>
      </c>
      <c r="B410" s="42" t="s">
        <v>595</v>
      </c>
      <c r="C410" s="43" t="s">
        <v>596</v>
      </c>
      <c r="D410" s="42" t="s">
        <v>30</v>
      </c>
      <c r="E410" s="44">
        <v>0.95</v>
      </c>
      <c r="F410" s="44">
        <v>0.27550000000000002</v>
      </c>
    </row>
    <row r="411" spans="1:6" s="31" customFormat="1" outlineLevel="1" x14ac:dyDescent="0.25">
      <c r="A411" s="41" t="s">
        <v>790</v>
      </c>
      <c r="B411" s="42" t="s">
        <v>598</v>
      </c>
      <c r="C411" s="43" t="s">
        <v>599</v>
      </c>
      <c r="D411" s="42" t="s">
        <v>30</v>
      </c>
      <c r="E411" s="44">
        <v>0.85</v>
      </c>
      <c r="F411" s="44">
        <v>0.2465</v>
      </c>
    </row>
    <row r="412" spans="1:6" s="36" customFormat="1" outlineLevel="1" x14ac:dyDescent="0.25">
      <c r="A412" s="37" t="s">
        <v>791</v>
      </c>
      <c r="B412" s="38" t="s">
        <v>601</v>
      </c>
      <c r="C412" s="39" t="s">
        <v>602</v>
      </c>
      <c r="D412" s="38" t="s">
        <v>61</v>
      </c>
      <c r="E412" s="40">
        <v>3.6000000000000002E-4</v>
      </c>
      <c r="F412" s="40">
        <v>1.044E-4</v>
      </c>
    </row>
    <row r="413" spans="1:6" s="36" customFormat="1" outlineLevel="1" x14ac:dyDescent="0.25">
      <c r="A413" s="47" t="s">
        <v>792</v>
      </c>
      <c r="B413" s="48" t="s">
        <v>604</v>
      </c>
      <c r="C413" s="49" t="s">
        <v>605</v>
      </c>
      <c r="D413" s="48" t="s">
        <v>166</v>
      </c>
      <c r="E413" s="51">
        <v>0.06</v>
      </c>
      <c r="F413" s="51">
        <v>1.7399999999999999E-2</v>
      </c>
    </row>
    <row r="414" spans="1:6" s="36" customFormat="1" outlineLevel="1" x14ac:dyDescent="0.25">
      <c r="A414" s="47" t="s">
        <v>793</v>
      </c>
      <c r="B414" s="48" t="s">
        <v>607</v>
      </c>
      <c r="C414" s="49" t="s">
        <v>608</v>
      </c>
      <c r="D414" s="48" t="s">
        <v>61</v>
      </c>
      <c r="E414" s="51">
        <v>1.0000000000000001E-5</v>
      </c>
      <c r="F414" s="51">
        <v>2.9000000000000002E-6</v>
      </c>
    </row>
    <row r="415" spans="1:6" s="36" customFormat="1" outlineLevel="1" x14ac:dyDescent="0.25">
      <c r="A415" s="47" t="s">
        <v>794</v>
      </c>
      <c r="B415" s="48" t="s">
        <v>610</v>
      </c>
      <c r="C415" s="49" t="s">
        <v>611</v>
      </c>
      <c r="D415" s="48" t="s">
        <v>166</v>
      </c>
      <c r="E415" s="51">
        <v>0.08</v>
      </c>
      <c r="F415" s="51">
        <v>2.3199999999999998E-2</v>
      </c>
    </row>
    <row r="416" spans="1:6" s="36" customFormat="1" ht="36" outlineLevel="1" x14ac:dyDescent="0.25">
      <c r="A416" s="47" t="s">
        <v>795</v>
      </c>
      <c r="B416" s="48" t="s">
        <v>613</v>
      </c>
      <c r="C416" s="49" t="s">
        <v>614</v>
      </c>
      <c r="D416" s="48" t="s">
        <v>61</v>
      </c>
      <c r="E416" s="51">
        <v>1.2999999999999999E-3</v>
      </c>
      <c r="F416" s="51">
        <v>3.77E-4</v>
      </c>
    </row>
    <row r="417" spans="1:7" s="36" customFormat="1" outlineLevel="1" x14ac:dyDescent="0.25">
      <c r="A417" s="47" t="s">
        <v>796</v>
      </c>
      <c r="B417" s="48" t="s">
        <v>616</v>
      </c>
      <c r="C417" s="49" t="s">
        <v>617</v>
      </c>
      <c r="D417" s="48" t="s">
        <v>76</v>
      </c>
      <c r="E417" s="51">
        <v>0.61</v>
      </c>
      <c r="F417" s="51">
        <v>0.1769</v>
      </c>
    </row>
    <row r="418" spans="1:7" s="36" customFormat="1" outlineLevel="1" x14ac:dyDescent="0.25">
      <c r="A418" s="47" t="s">
        <v>797</v>
      </c>
      <c r="B418" s="48" t="s">
        <v>619</v>
      </c>
      <c r="C418" s="49" t="s">
        <v>620</v>
      </c>
      <c r="D418" s="48" t="s">
        <v>61</v>
      </c>
      <c r="E418" s="51">
        <v>1.0000000000000001E-5</v>
      </c>
      <c r="F418" s="51">
        <v>2.9000000000000002E-6</v>
      </c>
    </row>
    <row r="419" spans="1:7" s="36" customFormat="1" outlineLevel="1" x14ac:dyDescent="0.25">
      <c r="A419" s="47" t="s">
        <v>798</v>
      </c>
      <c r="B419" s="48" t="s">
        <v>622</v>
      </c>
      <c r="C419" s="49" t="s">
        <v>623</v>
      </c>
      <c r="D419" s="48" t="s">
        <v>61</v>
      </c>
      <c r="E419" s="51">
        <v>5.7000000000000002E-3</v>
      </c>
      <c r="F419" s="51">
        <v>1.653E-3</v>
      </c>
    </row>
    <row r="420" spans="1:7" s="36" customFormat="1" outlineLevel="1" x14ac:dyDescent="0.25">
      <c r="A420" s="47" t="s">
        <v>799</v>
      </c>
      <c r="B420" s="48" t="s">
        <v>625</v>
      </c>
      <c r="C420" s="49" t="s">
        <v>626</v>
      </c>
      <c r="D420" s="48" t="s">
        <v>547</v>
      </c>
      <c r="E420" s="51">
        <v>3.7</v>
      </c>
      <c r="F420" s="51">
        <v>1.073</v>
      </c>
    </row>
    <row r="421" spans="1:7" s="36" customFormat="1" outlineLevel="1" x14ac:dyDescent="0.25">
      <c r="A421" s="47" t="s">
        <v>800</v>
      </c>
      <c r="B421" s="48" t="s">
        <v>628</v>
      </c>
      <c r="C421" s="49" t="s">
        <v>629</v>
      </c>
      <c r="D421" s="48" t="s">
        <v>166</v>
      </c>
      <c r="E421" s="51">
        <v>0.03</v>
      </c>
      <c r="F421" s="51">
        <v>8.6999999999999994E-3</v>
      </c>
    </row>
    <row r="422" spans="1:7" s="36" customFormat="1" outlineLevel="1" x14ac:dyDescent="0.25">
      <c r="A422" s="47" t="s">
        <v>801</v>
      </c>
      <c r="B422" s="48" t="s">
        <v>631</v>
      </c>
      <c r="C422" s="49" t="s">
        <v>632</v>
      </c>
      <c r="D422" s="48" t="s">
        <v>166</v>
      </c>
      <c r="E422" s="51">
        <v>8.7999999999999995E-2</v>
      </c>
      <c r="F422" s="51">
        <v>2.5520000000000001E-2</v>
      </c>
    </row>
    <row r="423" spans="1:7" s="1" customFormat="1" x14ac:dyDescent="0.25">
      <c r="A423" s="18" t="s">
        <v>305</v>
      </c>
      <c r="B423" s="19"/>
      <c r="C423" s="19" t="s">
        <v>802</v>
      </c>
      <c r="D423" s="20" t="s">
        <v>547</v>
      </c>
      <c r="E423" s="187">
        <v>1</v>
      </c>
      <c r="F423" s="188"/>
      <c r="G423" s="21"/>
    </row>
    <row r="424" spans="1:7" s="1" customFormat="1" ht="12.75" customHeight="1" x14ac:dyDescent="0.25">
      <c r="A424" s="15"/>
      <c r="B424" s="16"/>
      <c r="C424" s="143" t="s">
        <v>225</v>
      </c>
      <c r="D424" s="143"/>
      <c r="E424" s="16"/>
      <c r="F424" s="17"/>
    </row>
    <row r="425" spans="1:7" s="1" customFormat="1" ht="25.5" x14ac:dyDescent="0.25">
      <c r="A425" s="18" t="s">
        <v>306</v>
      </c>
      <c r="B425" s="19" t="s">
        <v>803</v>
      </c>
      <c r="C425" s="19" t="s">
        <v>804</v>
      </c>
      <c r="D425" s="20" t="s">
        <v>805</v>
      </c>
      <c r="E425" s="144">
        <v>0.39500000000000002</v>
      </c>
      <c r="F425" s="145"/>
      <c r="G425" s="21"/>
    </row>
    <row r="426" spans="1:7" s="26" customFormat="1" outlineLevel="1" x14ac:dyDescent="0.25">
      <c r="A426" s="22" t="s">
        <v>806</v>
      </c>
      <c r="B426" s="23" t="s">
        <v>19</v>
      </c>
      <c r="C426" s="24" t="s">
        <v>37</v>
      </c>
      <c r="D426" s="23" t="s">
        <v>26</v>
      </c>
      <c r="E426" s="25">
        <v>203.4</v>
      </c>
      <c r="F426" s="25">
        <v>80.343000000000004</v>
      </c>
    </row>
    <row r="427" spans="1:7" s="36" customFormat="1" outlineLevel="1" x14ac:dyDescent="0.25">
      <c r="A427" s="32" t="s">
        <v>807</v>
      </c>
      <c r="B427" s="33" t="s">
        <v>24</v>
      </c>
      <c r="C427" s="34" t="s">
        <v>25</v>
      </c>
      <c r="D427" s="33" t="s">
        <v>26</v>
      </c>
      <c r="E427" s="35">
        <v>0.85</v>
      </c>
      <c r="F427" s="35">
        <v>0.33574999999999999</v>
      </c>
    </row>
    <row r="428" spans="1:7" s="31" customFormat="1" ht="24" outlineLevel="1" x14ac:dyDescent="0.25">
      <c r="A428" s="27" t="s">
        <v>808</v>
      </c>
      <c r="B428" s="28" t="s">
        <v>233</v>
      </c>
      <c r="C428" s="29" t="s">
        <v>234</v>
      </c>
      <c r="D428" s="28" t="s">
        <v>30</v>
      </c>
      <c r="E428" s="30">
        <v>0.04</v>
      </c>
      <c r="F428" s="30">
        <v>1.5800000000000002E-2</v>
      </c>
    </row>
    <row r="429" spans="1:7" s="31" customFormat="1" outlineLevel="1" x14ac:dyDescent="0.25">
      <c r="A429" s="41" t="s">
        <v>809</v>
      </c>
      <c r="B429" s="42" t="s">
        <v>530</v>
      </c>
      <c r="C429" s="43" t="s">
        <v>531</v>
      </c>
      <c r="D429" s="42" t="s">
        <v>30</v>
      </c>
      <c r="E429" s="44">
        <v>0.16</v>
      </c>
      <c r="F429" s="44">
        <v>6.3200000000000006E-2</v>
      </c>
    </row>
    <row r="430" spans="1:7" s="31" customFormat="1" outlineLevel="1" x14ac:dyDescent="0.25">
      <c r="A430" s="41" t="s">
        <v>810</v>
      </c>
      <c r="B430" s="42" t="s">
        <v>811</v>
      </c>
      <c r="C430" s="43" t="s">
        <v>812</v>
      </c>
      <c r="D430" s="42" t="s">
        <v>30</v>
      </c>
      <c r="E430" s="44">
        <v>0.74</v>
      </c>
      <c r="F430" s="44">
        <v>0.2923</v>
      </c>
    </row>
    <row r="431" spans="1:7" s="31" customFormat="1" outlineLevel="1" x14ac:dyDescent="0.25">
      <c r="A431" s="41" t="s">
        <v>813</v>
      </c>
      <c r="B431" s="42" t="s">
        <v>814</v>
      </c>
      <c r="C431" s="43" t="s">
        <v>153</v>
      </c>
      <c r="D431" s="42" t="s">
        <v>30</v>
      </c>
      <c r="E431" s="44">
        <v>7.0000000000000007E-2</v>
      </c>
      <c r="F431" s="44">
        <v>2.7650000000000001E-2</v>
      </c>
    </row>
    <row r="432" spans="1:7" s="36" customFormat="1" outlineLevel="1" x14ac:dyDescent="0.25">
      <c r="A432" s="37" t="s">
        <v>815</v>
      </c>
      <c r="B432" s="38" t="s">
        <v>656</v>
      </c>
      <c r="C432" s="39" t="s">
        <v>657</v>
      </c>
      <c r="D432" s="38" t="s">
        <v>166</v>
      </c>
      <c r="E432" s="40">
        <v>0.3</v>
      </c>
      <c r="F432" s="40">
        <v>0.11849999999999999</v>
      </c>
    </row>
    <row r="433" spans="1:7" s="36" customFormat="1" outlineLevel="1" x14ac:dyDescent="0.25">
      <c r="A433" s="47" t="s">
        <v>816</v>
      </c>
      <c r="B433" s="48" t="s">
        <v>817</v>
      </c>
      <c r="C433" s="49" t="s">
        <v>818</v>
      </c>
      <c r="D433" s="48" t="s">
        <v>76</v>
      </c>
      <c r="E433" s="51">
        <v>3.06</v>
      </c>
      <c r="F433" s="51">
        <v>1.2087000000000001</v>
      </c>
    </row>
    <row r="434" spans="1:7" s="1" customFormat="1" x14ac:dyDescent="0.25">
      <c r="A434" s="18" t="s">
        <v>307</v>
      </c>
      <c r="B434" s="19" t="s">
        <v>819</v>
      </c>
      <c r="C434" s="19" t="s">
        <v>820</v>
      </c>
      <c r="D434" s="20" t="s">
        <v>821</v>
      </c>
      <c r="E434" s="144">
        <v>7.9000000000000008E-3</v>
      </c>
      <c r="F434" s="145"/>
      <c r="G434" s="21"/>
    </row>
    <row r="435" spans="1:7" s="26" customFormat="1" outlineLevel="1" x14ac:dyDescent="0.25">
      <c r="A435" s="22" t="s">
        <v>822</v>
      </c>
      <c r="B435" s="23" t="s">
        <v>19</v>
      </c>
      <c r="C435" s="24" t="s">
        <v>37</v>
      </c>
      <c r="D435" s="23" t="s">
        <v>26</v>
      </c>
      <c r="E435" s="25">
        <v>5.78</v>
      </c>
      <c r="F435" s="25">
        <v>4.5662000000000001E-2</v>
      </c>
    </row>
    <row r="436" spans="1:7" s="36" customFormat="1" outlineLevel="1" x14ac:dyDescent="0.25">
      <c r="A436" s="32" t="s">
        <v>823</v>
      </c>
      <c r="B436" s="33" t="s">
        <v>24</v>
      </c>
      <c r="C436" s="34" t="s">
        <v>25</v>
      </c>
      <c r="D436" s="33" t="s">
        <v>26</v>
      </c>
      <c r="E436" s="35">
        <v>3.09</v>
      </c>
      <c r="F436" s="35">
        <v>2.4410999999999999E-2</v>
      </c>
    </row>
    <row r="437" spans="1:7" s="31" customFormat="1" ht="24" outlineLevel="1" x14ac:dyDescent="0.25">
      <c r="A437" s="27" t="s">
        <v>824</v>
      </c>
      <c r="B437" s="28" t="s">
        <v>233</v>
      </c>
      <c r="C437" s="29" t="s">
        <v>234</v>
      </c>
      <c r="D437" s="28" t="s">
        <v>30</v>
      </c>
      <c r="E437" s="30">
        <v>0.33</v>
      </c>
      <c r="F437" s="30">
        <v>2.6069999999999999E-3</v>
      </c>
    </row>
    <row r="438" spans="1:7" s="31" customFormat="1" outlineLevel="1" x14ac:dyDescent="0.25">
      <c r="A438" s="41" t="s">
        <v>825</v>
      </c>
      <c r="B438" s="42" t="s">
        <v>826</v>
      </c>
      <c r="C438" s="43" t="s">
        <v>827</v>
      </c>
      <c r="D438" s="42" t="s">
        <v>30</v>
      </c>
      <c r="E438" s="44">
        <v>1.8</v>
      </c>
      <c r="F438" s="44">
        <v>1.422E-2</v>
      </c>
    </row>
    <row r="439" spans="1:7" s="31" customFormat="1" outlineLevel="1" x14ac:dyDescent="0.25">
      <c r="A439" s="41" t="s">
        <v>828</v>
      </c>
      <c r="B439" s="42" t="s">
        <v>829</v>
      </c>
      <c r="C439" s="43" t="s">
        <v>830</v>
      </c>
      <c r="D439" s="42" t="s">
        <v>30</v>
      </c>
      <c r="E439" s="44">
        <v>2.2599999999999998</v>
      </c>
      <c r="F439" s="44">
        <v>1.7853999999999998E-2</v>
      </c>
    </row>
    <row r="440" spans="1:7" s="31" customFormat="1" outlineLevel="1" x14ac:dyDescent="0.25">
      <c r="A440" s="41" t="s">
        <v>831</v>
      </c>
      <c r="B440" s="42" t="s">
        <v>814</v>
      </c>
      <c r="C440" s="43" t="s">
        <v>153</v>
      </c>
      <c r="D440" s="42" t="s">
        <v>30</v>
      </c>
      <c r="E440" s="44">
        <v>0.5</v>
      </c>
      <c r="F440" s="44">
        <v>3.9500000000000004E-3</v>
      </c>
    </row>
    <row r="441" spans="1:7" s="36" customFormat="1" outlineLevel="1" x14ac:dyDescent="0.25">
      <c r="A441" s="37" t="s">
        <v>832</v>
      </c>
      <c r="B441" s="38" t="s">
        <v>833</v>
      </c>
      <c r="C441" s="39" t="s">
        <v>834</v>
      </c>
      <c r="D441" s="38" t="s">
        <v>61</v>
      </c>
      <c r="E441" s="40">
        <v>0.32</v>
      </c>
      <c r="F441" s="40">
        <v>2.5279999999999999E-3</v>
      </c>
    </row>
    <row r="442" spans="1:7" s="36" customFormat="1" outlineLevel="1" x14ac:dyDescent="0.25">
      <c r="A442" s="47" t="s">
        <v>835</v>
      </c>
      <c r="B442" s="48" t="s">
        <v>836</v>
      </c>
      <c r="C442" s="49" t="s">
        <v>837</v>
      </c>
      <c r="D442" s="48" t="s">
        <v>61</v>
      </c>
      <c r="E442" s="51">
        <v>0.72</v>
      </c>
      <c r="F442" s="51">
        <v>5.6880000000000003E-3</v>
      </c>
    </row>
    <row r="443" spans="1:7" s="1" customFormat="1" x14ac:dyDescent="0.25">
      <c r="A443" s="18" t="s">
        <v>308</v>
      </c>
      <c r="B443" s="19" t="s">
        <v>838</v>
      </c>
      <c r="C443" s="19" t="s">
        <v>839</v>
      </c>
      <c r="D443" s="20" t="s">
        <v>821</v>
      </c>
      <c r="E443" s="144">
        <v>0.32784999999999997</v>
      </c>
      <c r="F443" s="145"/>
      <c r="G443" s="21"/>
    </row>
    <row r="444" spans="1:7" s="26" customFormat="1" outlineLevel="1" x14ac:dyDescent="0.25">
      <c r="A444" s="22" t="s">
        <v>840</v>
      </c>
      <c r="B444" s="23" t="s">
        <v>19</v>
      </c>
      <c r="C444" s="24" t="s">
        <v>37</v>
      </c>
      <c r="D444" s="23" t="s">
        <v>26</v>
      </c>
      <c r="E444" s="25">
        <v>10.9</v>
      </c>
      <c r="F444" s="25">
        <v>3.5735999999999999</v>
      </c>
    </row>
    <row r="445" spans="1:7" s="36" customFormat="1" outlineLevel="1" x14ac:dyDescent="0.25">
      <c r="A445" s="32" t="s">
        <v>841</v>
      </c>
      <c r="B445" s="33" t="s">
        <v>24</v>
      </c>
      <c r="C445" s="34" t="s">
        <v>25</v>
      </c>
      <c r="D445" s="33" t="s">
        <v>26</v>
      </c>
      <c r="E445" s="35">
        <v>0.83</v>
      </c>
      <c r="F445" s="35">
        <v>0.27211550000000001</v>
      </c>
    </row>
    <row r="446" spans="1:7" s="31" customFormat="1" ht="24" outlineLevel="1" x14ac:dyDescent="0.25">
      <c r="A446" s="27" t="s">
        <v>842</v>
      </c>
      <c r="B446" s="28" t="s">
        <v>233</v>
      </c>
      <c r="C446" s="29" t="s">
        <v>234</v>
      </c>
      <c r="D446" s="28" t="s">
        <v>30</v>
      </c>
      <c r="E446" s="30">
        <v>0.33</v>
      </c>
      <c r="F446" s="30">
        <v>0.1081905</v>
      </c>
    </row>
    <row r="447" spans="1:7" s="31" customFormat="1" outlineLevel="1" x14ac:dyDescent="0.25">
      <c r="A447" s="41" t="s">
        <v>843</v>
      </c>
      <c r="B447" s="42" t="s">
        <v>826</v>
      </c>
      <c r="C447" s="43" t="s">
        <v>827</v>
      </c>
      <c r="D447" s="42" t="s">
        <v>30</v>
      </c>
      <c r="E447" s="44">
        <v>4.8099999999999996</v>
      </c>
      <c r="F447" s="44">
        <v>1.577</v>
      </c>
    </row>
    <row r="448" spans="1:7" s="31" customFormat="1" outlineLevel="1" x14ac:dyDescent="0.25">
      <c r="A448" s="41" t="s">
        <v>844</v>
      </c>
      <c r="B448" s="42" t="s">
        <v>814</v>
      </c>
      <c r="C448" s="43" t="s">
        <v>153</v>
      </c>
      <c r="D448" s="42" t="s">
        <v>30</v>
      </c>
      <c r="E448" s="44">
        <v>0.5</v>
      </c>
      <c r="F448" s="44">
        <v>0.16392499999999999</v>
      </c>
    </row>
    <row r="449" spans="1:7" s="36" customFormat="1" outlineLevel="1" x14ac:dyDescent="0.25">
      <c r="A449" s="37" t="s">
        <v>845</v>
      </c>
      <c r="B449" s="38" t="s">
        <v>833</v>
      </c>
      <c r="C449" s="39" t="s">
        <v>834</v>
      </c>
      <c r="D449" s="38" t="s">
        <v>61</v>
      </c>
      <c r="E449" s="40">
        <v>0.42</v>
      </c>
      <c r="F449" s="40">
        <v>0.13769700000000001</v>
      </c>
    </row>
    <row r="450" spans="1:7" s="36" customFormat="1" outlineLevel="1" x14ac:dyDescent="0.25">
      <c r="A450" s="47" t="s">
        <v>846</v>
      </c>
      <c r="B450" s="48" t="s">
        <v>847</v>
      </c>
      <c r="C450" s="49" t="s">
        <v>848</v>
      </c>
      <c r="D450" s="48" t="s">
        <v>61</v>
      </c>
      <c r="E450" s="51">
        <v>0.52</v>
      </c>
      <c r="F450" s="51">
        <v>0.17048199999999999</v>
      </c>
    </row>
    <row r="451" spans="1:7" s="36" customFormat="1" outlineLevel="1" x14ac:dyDescent="0.25">
      <c r="A451" s="47" t="s">
        <v>849</v>
      </c>
      <c r="B451" s="48" t="s">
        <v>850</v>
      </c>
      <c r="C451" s="49" t="s">
        <v>851</v>
      </c>
      <c r="D451" s="48" t="s">
        <v>61</v>
      </c>
      <c r="E451" s="51">
        <v>0.1</v>
      </c>
      <c r="F451" s="51">
        <v>3.2785000000000002E-2</v>
      </c>
    </row>
    <row r="452" spans="1:7" s="1" customFormat="1" x14ac:dyDescent="0.25">
      <c r="A452" s="18" t="s">
        <v>309</v>
      </c>
      <c r="B452" s="19"/>
      <c r="C452" s="19" t="s">
        <v>852</v>
      </c>
      <c r="D452" s="20" t="s">
        <v>210</v>
      </c>
      <c r="E452" s="148">
        <v>39.5</v>
      </c>
      <c r="F452" s="149"/>
      <c r="G452" s="21"/>
    </row>
    <row r="453" spans="1:7" s="1" customFormat="1" x14ac:dyDescent="0.25">
      <c r="A453" s="18" t="s">
        <v>853</v>
      </c>
      <c r="B453" s="19" t="s">
        <v>854</v>
      </c>
      <c r="C453" s="19" t="s">
        <v>855</v>
      </c>
      <c r="D453" s="20" t="s">
        <v>22</v>
      </c>
      <c r="E453" s="144">
        <v>6.0999999999999999E-2</v>
      </c>
      <c r="F453" s="145"/>
      <c r="G453" s="21"/>
    </row>
    <row r="454" spans="1:7" s="26" customFormat="1" outlineLevel="1" x14ac:dyDescent="0.25">
      <c r="A454" s="22" t="s">
        <v>856</v>
      </c>
      <c r="B454" s="23" t="s">
        <v>19</v>
      </c>
      <c r="C454" s="24" t="s">
        <v>37</v>
      </c>
      <c r="D454" s="23" t="s">
        <v>26</v>
      </c>
      <c r="E454" s="45">
        <v>89</v>
      </c>
      <c r="F454" s="25">
        <v>5.4290000000000003</v>
      </c>
    </row>
    <row r="455" spans="1:7" s="36" customFormat="1" outlineLevel="1" x14ac:dyDescent="0.25">
      <c r="A455" s="32" t="s">
        <v>857</v>
      </c>
      <c r="B455" s="33" t="s">
        <v>24</v>
      </c>
      <c r="C455" s="34" t="s">
        <v>25</v>
      </c>
      <c r="D455" s="33" t="s">
        <v>26</v>
      </c>
      <c r="E455" s="35">
        <v>5.88</v>
      </c>
      <c r="F455" s="35">
        <v>0.35868</v>
      </c>
    </row>
    <row r="456" spans="1:7" s="31" customFormat="1" ht="24" outlineLevel="1" x14ac:dyDescent="0.25">
      <c r="A456" s="27" t="s">
        <v>858</v>
      </c>
      <c r="B456" s="28" t="s">
        <v>146</v>
      </c>
      <c r="C456" s="29" t="s">
        <v>147</v>
      </c>
      <c r="D456" s="28" t="s">
        <v>30</v>
      </c>
      <c r="E456" s="30">
        <v>5.88</v>
      </c>
      <c r="F456" s="30">
        <v>0.35868</v>
      </c>
    </row>
    <row r="457" spans="1:7" s="36" customFormat="1" outlineLevel="1" x14ac:dyDescent="0.25">
      <c r="A457" s="37" t="s">
        <v>859</v>
      </c>
      <c r="B457" s="38" t="s">
        <v>206</v>
      </c>
      <c r="C457" s="39" t="s">
        <v>207</v>
      </c>
      <c r="D457" s="38" t="s">
        <v>76</v>
      </c>
      <c r="E457" s="46">
        <v>103</v>
      </c>
      <c r="F457" s="40">
        <v>6.2830000000000004</v>
      </c>
    </row>
    <row r="458" spans="1:7" s="1" customFormat="1" ht="38.25" x14ac:dyDescent="0.25">
      <c r="A458" s="18" t="s">
        <v>860</v>
      </c>
      <c r="B458" s="19" t="s">
        <v>861</v>
      </c>
      <c r="C458" s="19" t="s">
        <v>862</v>
      </c>
      <c r="D458" s="20" t="s">
        <v>61</v>
      </c>
      <c r="E458" s="144">
        <v>1.8160000000000001</v>
      </c>
      <c r="F458" s="145"/>
      <c r="G458" s="21"/>
    </row>
    <row r="459" spans="1:7" s="26" customFormat="1" outlineLevel="1" x14ac:dyDescent="0.25">
      <c r="A459" s="22" t="s">
        <v>863</v>
      </c>
      <c r="B459" s="23" t="s">
        <v>19</v>
      </c>
      <c r="C459" s="24" t="s">
        <v>37</v>
      </c>
      <c r="D459" s="23" t="s">
        <v>26</v>
      </c>
      <c r="E459" s="25">
        <v>48.3</v>
      </c>
      <c r="F459" s="25">
        <v>87.712800000000001</v>
      </c>
    </row>
    <row r="460" spans="1:7" s="36" customFormat="1" outlineLevel="1" x14ac:dyDescent="0.25">
      <c r="A460" s="32" t="s">
        <v>864</v>
      </c>
      <c r="B460" s="33" t="s">
        <v>24</v>
      </c>
      <c r="C460" s="34" t="s">
        <v>25</v>
      </c>
      <c r="D460" s="33" t="s">
        <v>26</v>
      </c>
      <c r="E460" s="35">
        <v>10.206</v>
      </c>
      <c r="F460" s="35">
        <v>18.534099999999999</v>
      </c>
    </row>
    <row r="461" spans="1:7" s="31" customFormat="1" ht="24" outlineLevel="1" x14ac:dyDescent="0.25">
      <c r="A461" s="27" t="s">
        <v>865</v>
      </c>
      <c r="B461" s="28" t="s">
        <v>93</v>
      </c>
      <c r="C461" s="29" t="s">
        <v>94</v>
      </c>
      <c r="D461" s="28" t="s">
        <v>30</v>
      </c>
      <c r="E461" s="30">
        <v>0.27600000000000002</v>
      </c>
      <c r="F461" s="30">
        <v>0.50121599999999999</v>
      </c>
    </row>
    <row r="462" spans="1:7" s="31" customFormat="1" ht="24" outlineLevel="1" x14ac:dyDescent="0.25">
      <c r="A462" s="41" t="s">
        <v>866</v>
      </c>
      <c r="B462" s="42" t="s">
        <v>143</v>
      </c>
      <c r="C462" s="43" t="s">
        <v>144</v>
      </c>
      <c r="D462" s="42" t="s">
        <v>30</v>
      </c>
      <c r="E462" s="44">
        <v>3.1949999999999998</v>
      </c>
      <c r="F462" s="44">
        <v>5.8021000000000003</v>
      </c>
    </row>
    <row r="463" spans="1:7" s="31" customFormat="1" ht="24" outlineLevel="1" x14ac:dyDescent="0.25">
      <c r="A463" s="41" t="s">
        <v>867</v>
      </c>
      <c r="B463" s="42" t="s">
        <v>582</v>
      </c>
      <c r="C463" s="43" t="s">
        <v>583</v>
      </c>
      <c r="D463" s="42" t="s">
        <v>30</v>
      </c>
      <c r="E463" s="44">
        <v>6.45</v>
      </c>
      <c r="F463" s="44">
        <v>11.713200000000001</v>
      </c>
    </row>
    <row r="464" spans="1:7" s="31" customFormat="1" outlineLevel="1" x14ac:dyDescent="0.25">
      <c r="A464" s="41" t="s">
        <v>868</v>
      </c>
      <c r="B464" s="42" t="s">
        <v>585</v>
      </c>
      <c r="C464" s="43" t="s">
        <v>586</v>
      </c>
      <c r="D464" s="42" t="s">
        <v>30</v>
      </c>
      <c r="E464" s="44">
        <v>0.23699999999999999</v>
      </c>
      <c r="F464" s="44">
        <v>0.430392</v>
      </c>
    </row>
    <row r="465" spans="1:7" s="31" customFormat="1" outlineLevel="1" x14ac:dyDescent="0.25">
      <c r="A465" s="41" t="s">
        <v>869</v>
      </c>
      <c r="B465" s="42" t="s">
        <v>588</v>
      </c>
      <c r="C465" s="43" t="s">
        <v>589</v>
      </c>
      <c r="D465" s="42" t="s">
        <v>30</v>
      </c>
      <c r="E465" s="44">
        <v>0.70499999999999996</v>
      </c>
      <c r="F465" s="44">
        <v>1.2803</v>
      </c>
    </row>
    <row r="466" spans="1:7" s="31" customFormat="1" outlineLevel="1" x14ac:dyDescent="0.25">
      <c r="A466" s="41" t="s">
        <v>870</v>
      </c>
      <c r="B466" s="42" t="s">
        <v>216</v>
      </c>
      <c r="C466" s="43" t="s">
        <v>217</v>
      </c>
      <c r="D466" s="42" t="s">
        <v>30</v>
      </c>
      <c r="E466" s="44">
        <v>2.2170000000000001</v>
      </c>
      <c r="F466" s="44">
        <v>4.0260999999999996</v>
      </c>
    </row>
    <row r="467" spans="1:7" s="31" customFormat="1" outlineLevel="1" x14ac:dyDescent="0.25">
      <c r="A467" s="41" t="s">
        <v>871</v>
      </c>
      <c r="B467" s="42" t="s">
        <v>592</v>
      </c>
      <c r="C467" s="43" t="s">
        <v>593</v>
      </c>
      <c r="D467" s="42" t="s">
        <v>30</v>
      </c>
      <c r="E467" s="44">
        <v>4.8000000000000001E-2</v>
      </c>
      <c r="F467" s="44">
        <v>8.7167999999999995E-2</v>
      </c>
    </row>
    <row r="468" spans="1:7" s="31" customFormat="1" outlineLevel="1" x14ac:dyDescent="0.25">
      <c r="A468" s="41" t="s">
        <v>872</v>
      </c>
      <c r="B468" s="42" t="s">
        <v>595</v>
      </c>
      <c r="C468" s="43" t="s">
        <v>596</v>
      </c>
      <c r="D468" s="42" t="s">
        <v>30</v>
      </c>
      <c r="E468" s="44">
        <v>0.28499999999999998</v>
      </c>
      <c r="F468" s="44">
        <v>0.51756000000000002</v>
      </c>
    </row>
    <row r="469" spans="1:7" s="31" customFormat="1" outlineLevel="1" x14ac:dyDescent="0.25">
      <c r="A469" s="41" t="s">
        <v>873</v>
      </c>
      <c r="B469" s="42" t="s">
        <v>598</v>
      </c>
      <c r="C469" s="43" t="s">
        <v>599</v>
      </c>
      <c r="D469" s="42" t="s">
        <v>30</v>
      </c>
      <c r="E469" s="44">
        <v>0.255</v>
      </c>
      <c r="F469" s="44">
        <v>0.46307999999999999</v>
      </c>
    </row>
    <row r="470" spans="1:7" s="1" customFormat="1" x14ac:dyDescent="0.25">
      <c r="A470" s="18" t="s">
        <v>874</v>
      </c>
      <c r="B470" s="19"/>
      <c r="C470" s="19" t="s">
        <v>875</v>
      </c>
      <c r="D470" s="20" t="s">
        <v>182</v>
      </c>
      <c r="E470" s="148">
        <v>1.8160000000000001</v>
      </c>
      <c r="F470" s="149"/>
      <c r="G470" s="21"/>
    </row>
    <row r="471" spans="1:7" s="1" customFormat="1" ht="13.5" thickBot="1" x14ac:dyDescent="0.3">
      <c r="A471" s="150"/>
      <c r="B471" s="151"/>
      <c r="C471" s="151"/>
      <c r="D471" s="151"/>
      <c r="E471" s="151"/>
      <c r="F471" s="152"/>
    </row>
    <row r="472" spans="1:7" s="1" customFormat="1" ht="13.5" thickTop="1" x14ac:dyDescent="0.25">
      <c r="A472" s="153" t="s">
        <v>290</v>
      </c>
      <c r="B472" s="154"/>
      <c r="C472" s="154"/>
      <c r="D472" s="52"/>
      <c r="E472" s="53"/>
      <c r="F472" s="54"/>
      <c r="G472" s="21"/>
    </row>
    <row r="473" spans="1:7" s="1" customFormat="1" x14ac:dyDescent="0.25">
      <c r="A473" s="155"/>
      <c r="B473" s="156"/>
      <c r="C473" s="156"/>
      <c r="D473" s="156"/>
      <c r="E473" s="156"/>
      <c r="F473" s="157"/>
    </row>
    <row r="474" spans="1:7" s="1" customFormat="1" x14ac:dyDescent="0.25">
      <c r="A474" s="55"/>
      <c r="B474" s="56"/>
      <c r="C474" s="57" t="s">
        <v>291</v>
      </c>
      <c r="D474" s="58"/>
      <c r="E474" s="59"/>
      <c r="F474" s="60"/>
    </row>
    <row r="475" spans="1:7" s="1" customFormat="1" x14ac:dyDescent="0.25">
      <c r="A475" s="61" t="s">
        <v>19</v>
      </c>
      <c r="B475" s="62" t="s">
        <v>19</v>
      </c>
      <c r="C475" s="62" t="s">
        <v>37</v>
      </c>
      <c r="D475" s="63" t="s">
        <v>26</v>
      </c>
      <c r="E475" s="64"/>
      <c r="F475" s="65">
        <v>1596.8934999999999</v>
      </c>
    </row>
    <row r="476" spans="1:7" s="1" customFormat="1" x14ac:dyDescent="0.25">
      <c r="A476" s="61" t="s">
        <v>31</v>
      </c>
      <c r="B476" s="62" t="s">
        <v>24</v>
      </c>
      <c r="C476" s="62" t="s">
        <v>25</v>
      </c>
      <c r="D476" s="63" t="s">
        <v>26</v>
      </c>
      <c r="E476" s="64"/>
      <c r="F476" s="65">
        <v>232.97839999999999</v>
      </c>
    </row>
    <row r="477" spans="1:7" s="1" customFormat="1" x14ac:dyDescent="0.25">
      <c r="A477" s="55"/>
      <c r="B477" s="56"/>
      <c r="C477" s="57" t="s">
        <v>292</v>
      </c>
      <c r="D477" s="58"/>
      <c r="E477" s="59"/>
      <c r="F477" s="60"/>
    </row>
    <row r="478" spans="1:7" s="1" customFormat="1" x14ac:dyDescent="0.25">
      <c r="A478" s="61" t="s">
        <v>24</v>
      </c>
      <c r="B478" s="62" t="s">
        <v>187</v>
      </c>
      <c r="C478" s="62" t="s">
        <v>188</v>
      </c>
      <c r="D478" s="63" t="s">
        <v>30</v>
      </c>
      <c r="E478" s="64"/>
      <c r="F478" s="65">
        <v>7.1999999999999995E-2</v>
      </c>
    </row>
    <row r="479" spans="1:7" s="1" customFormat="1" ht="24" x14ac:dyDescent="0.25">
      <c r="A479" s="61" t="s">
        <v>42</v>
      </c>
      <c r="B479" s="62" t="s">
        <v>454</v>
      </c>
      <c r="C479" s="62" t="s">
        <v>455</v>
      </c>
      <c r="D479" s="63" t="s">
        <v>30</v>
      </c>
      <c r="E479" s="64"/>
      <c r="F479" s="65">
        <v>4.5289000000000001</v>
      </c>
    </row>
    <row r="480" spans="1:7" s="1" customFormat="1" x14ac:dyDescent="0.25">
      <c r="A480" s="61" t="s">
        <v>50</v>
      </c>
      <c r="B480" s="62" t="s">
        <v>345</v>
      </c>
      <c r="C480" s="62" t="s">
        <v>346</v>
      </c>
      <c r="D480" s="63" t="s">
        <v>30</v>
      </c>
      <c r="E480" s="64"/>
      <c r="F480" s="65">
        <v>20.359500000000001</v>
      </c>
    </row>
    <row r="481" spans="1:6" s="1" customFormat="1" ht="24" x14ac:dyDescent="0.25">
      <c r="A481" s="61" t="s">
        <v>58</v>
      </c>
      <c r="B481" s="62" t="s">
        <v>82</v>
      </c>
      <c r="C481" s="62" t="s">
        <v>83</v>
      </c>
      <c r="D481" s="63" t="s">
        <v>30</v>
      </c>
      <c r="E481" s="64"/>
      <c r="F481" s="65">
        <v>14.123200000000001</v>
      </c>
    </row>
    <row r="482" spans="1:6" s="1" customFormat="1" x14ac:dyDescent="0.25">
      <c r="A482" s="61" t="s">
        <v>66</v>
      </c>
      <c r="B482" s="62" t="s">
        <v>190</v>
      </c>
      <c r="C482" s="62" t="s">
        <v>191</v>
      </c>
      <c r="D482" s="63" t="s">
        <v>30</v>
      </c>
      <c r="E482" s="64"/>
      <c r="F482" s="65">
        <v>0.79066000000000003</v>
      </c>
    </row>
    <row r="483" spans="1:6" s="1" customFormat="1" x14ac:dyDescent="0.25">
      <c r="A483" s="61" t="s">
        <v>77</v>
      </c>
      <c r="B483" s="62" t="s">
        <v>140</v>
      </c>
      <c r="C483" s="62" t="s">
        <v>141</v>
      </c>
      <c r="D483" s="63" t="s">
        <v>30</v>
      </c>
      <c r="E483" s="64"/>
      <c r="F483" s="65">
        <v>10.452500000000001</v>
      </c>
    </row>
    <row r="484" spans="1:6" s="1" customFormat="1" x14ac:dyDescent="0.25">
      <c r="A484" s="61" t="s">
        <v>84</v>
      </c>
      <c r="B484" s="62" t="s">
        <v>348</v>
      </c>
      <c r="C484" s="62" t="s">
        <v>349</v>
      </c>
      <c r="D484" s="63" t="s">
        <v>30</v>
      </c>
      <c r="E484" s="64"/>
      <c r="F484" s="65">
        <v>8.484</v>
      </c>
    </row>
    <row r="485" spans="1:6" s="1" customFormat="1" ht="24" x14ac:dyDescent="0.25">
      <c r="A485" s="61" t="s">
        <v>87</v>
      </c>
      <c r="B485" s="62" t="s">
        <v>93</v>
      </c>
      <c r="C485" s="62" t="s">
        <v>94</v>
      </c>
      <c r="D485" s="63" t="s">
        <v>30</v>
      </c>
      <c r="E485" s="64"/>
      <c r="F485" s="65">
        <v>7.9194000000000004</v>
      </c>
    </row>
    <row r="486" spans="1:6" s="1" customFormat="1" ht="24" x14ac:dyDescent="0.25">
      <c r="A486" s="61" t="s">
        <v>98</v>
      </c>
      <c r="B486" s="62" t="s">
        <v>233</v>
      </c>
      <c r="C486" s="62" t="s">
        <v>234</v>
      </c>
      <c r="D486" s="63" t="s">
        <v>30</v>
      </c>
      <c r="E486" s="64"/>
      <c r="F486" s="65">
        <v>0.1393375</v>
      </c>
    </row>
    <row r="487" spans="1:6" s="1" customFormat="1" x14ac:dyDescent="0.25">
      <c r="A487" s="61" t="s">
        <v>106</v>
      </c>
      <c r="B487" s="62" t="s">
        <v>143</v>
      </c>
      <c r="C487" s="62" t="s">
        <v>144</v>
      </c>
      <c r="D487" s="63" t="s">
        <v>30</v>
      </c>
      <c r="E487" s="64"/>
      <c r="F487" s="65">
        <v>34.1751</v>
      </c>
    </row>
    <row r="488" spans="1:6" s="1" customFormat="1" ht="24" x14ac:dyDescent="0.25">
      <c r="A488" s="61" t="s">
        <v>114</v>
      </c>
      <c r="B488" s="62" t="s">
        <v>582</v>
      </c>
      <c r="C488" s="62" t="s">
        <v>583</v>
      </c>
      <c r="D488" s="63" t="s">
        <v>30</v>
      </c>
      <c r="E488" s="64"/>
      <c r="F488" s="65">
        <v>56.648200000000003</v>
      </c>
    </row>
    <row r="489" spans="1:6" s="1" customFormat="1" x14ac:dyDescent="0.25">
      <c r="A489" s="61" t="s">
        <v>119</v>
      </c>
      <c r="B489" s="62" t="s">
        <v>146</v>
      </c>
      <c r="C489" s="62" t="s">
        <v>147</v>
      </c>
      <c r="D489" s="63" t="s">
        <v>30</v>
      </c>
      <c r="E489" s="64"/>
      <c r="F489" s="65">
        <v>46.581699999999998</v>
      </c>
    </row>
    <row r="490" spans="1:6" s="1" customFormat="1" x14ac:dyDescent="0.25">
      <c r="A490" s="61" t="s">
        <v>123</v>
      </c>
      <c r="B490" s="62" t="s">
        <v>826</v>
      </c>
      <c r="C490" s="62" t="s">
        <v>827</v>
      </c>
      <c r="D490" s="63" t="s">
        <v>30</v>
      </c>
      <c r="E490" s="64"/>
      <c r="F490" s="65">
        <v>1.5911999999999999</v>
      </c>
    </row>
    <row r="491" spans="1:6" s="1" customFormat="1" x14ac:dyDescent="0.25">
      <c r="A491" s="61" t="s">
        <v>128</v>
      </c>
      <c r="B491" s="62" t="s">
        <v>530</v>
      </c>
      <c r="C491" s="62" t="s">
        <v>531</v>
      </c>
      <c r="D491" s="63" t="s">
        <v>30</v>
      </c>
      <c r="E491" s="64"/>
      <c r="F491" s="65">
        <v>0.40783000000000003</v>
      </c>
    </row>
    <row r="492" spans="1:6" s="1" customFormat="1" x14ac:dyDescent="0.25">
      <c r="A492" s="61" t="s">
        <v>134</v>
      </c>
      <c r="B492" s="62" t="s">
        <v>649</v>
      </c>
      <c r="C492" s="62" t="s">
        <v>650</v>
      </c>
      <c r="D492" s="63" t="s">
        <v>30</v>
      </c>
      <c r="E492" s="64"/>
      <c r="F492" s="65">
        <v>7.1999999999999995E-2</v>
      </c>
    </row>
    <row r="493" spans="1:6" s="1" customFormat="1" x14ac:dyDescent="0.25">
      <c r="A493" s="61" t="s">
        <v>170</v>
      </c>
      <c r="B493" s="62" t="s">
        <v>556</v>
      </c>
      <c r="C493" s="62" t="s">
        <v>557</v>
      </c>
      <c r="D493" s="63" t="s">
        <v>30</v>
      </c>
      <c r="E493" s="64"/>
      <c r="F493" s="65">
        <v>1.1200000000000001</v>
      </c>
    </row>
    <row r="494" spans="1:6" s="1" customFormat="1" x14ac:dyDescent="0.25">
      <c r="A494" s="61" t="s">
        <v>177</v>
      </c>
      <c r="B494" s="62" t="s">
        <v>358</v>
      </c>
      <c r="C494" s="62" t="s">
        <v>359</v>
      </c>
      <c r="D494" s="63" t="s">
        <v>30</v>
      </c>
      <c r="E494" s="64"/>
      <c r="F494" s="65">
        <v>14.605499999999999</v>
      </c>
    </row>
    <row r="495" spans="1:6" s="1" customFormat="1" x14ac:dyDescent="0.25">
      <c r="A495" s="61" t="s">
        <v>180</v>
      </c>
      <c r="B495" s="62" t="s">
        <v>585</v>
      </c>
      <c r="C495" s="62" t="s">
        <v>586</v>
      </c>
      <c r="D495" s="63" t="s">
        <v>30</v>
      </c>
      <c r="E495" s="64"/>
      <c r="F495" s="65">
        <v>2.0815000000000001</v>
      </c>
    </row>
    <row r="496" spans="1:6" s="1" customFormat="1" ht="24" x14ac:dyDescent="0.25">
      <c r="A496" s="61" t="s">
        <v>183</v>
      </c>
      <c r="B496" s="62" t="s">
        <v>386</v>
      </c>
      <c r="C496" s="62" t="s">
        <v>387</v>
      </c>
      <c r="D496" s="63" t="s">
        <v>30</v>
      </c>
      <c r="E496" s="64"/>
      <c r="F496" s="65">
        <v>16.2195</v>
      </c>
    </row>
    <row r="497" spans="1:6" s="1" customFormat="1" x14ac:dyDescent="0.25">
      <c r="A497" s="61" t="s">
        <v>211</v>
      </c>
      <c r="B497" s="62" t="s">
        <v>811</v>
      </c>
      <c r="C497" s="62" t="s">
        <v>812</v>
      </c>
      <c r="D497" s="63" t="s">
        <v>30</v>
      </c>
      <c r="E497" s="64"/>
      <c r="F497" s="65">
        <v>0.2923</v>
      </c>
    </row>
    <row r="498" spans="1:6" s="1" customFormat="1" x14ac:dyDescent="0.25">
      <c r="A498" s="61" t="s">
        <v>222</v>
      </c>
      <c r="B498" s="62" t="s">
        <v>829</v>
      </c>
      <c r="C498" s="62" t="s">
        <v>830</v>
      </c>
      <c r="D498" s="63" t="s">
        <v>30</v>
      </c>
      <c r="E498" s="64"/>
      <c r="F498" s="65">
        <v>1.7853999999999998E-2</v>
      </c>
    </row>
    <row r="499" spans="1:6" s="1" customFormat="1" x14ac:dyDescent="0.25">
      <c r="A499" s="61" t="s">
        <v>223</v>
      </c>
      <c r="B499" s="62" t="s">
        <v>411</v>
      </c>
      <c r="C499" s="62" t="s">
        <v>412</v>
      </c>
      <c r="D499" s="63" t="s">
        <v>30</v>
      </c>
      <c r="E499" s="64"/>
      <c r="F499" s="65">
        <v>5.7519999999999998</v>
      </c>
    </row>
    <row r="500" spans="1:6" s="1" customFormat="1" x14ac:dyDescent="0.25">
      <c r="A500" s="61" t="s">
        <v>226</v>
      </c>
      <c r="B500" s="62" t="s">
        <v>588</v>
      </c>
      <c r="C500" s="62" t="s">
        <v>589</v>
      </c>
      <c r="D500" s="63" t="s">
        <v>30</v>
      </c>
      <c r="E500" s="64"/>
      <c r="F500" s="65">
        <v>6.1917999999999997</v>
      </c>
    </row>
    <row r="501" spans="1:6" s="1" customFormat="1" x14ac:dyDescent="0.25">
      <c r="A501" s="61" t="s">
        <v>238</v>
      </c>
      <c r="B501" s="62" t="s">
        <v>351</v>
      </c>
      <c r="C501" s="62" t="s">
        <v>352</v>
      </c>
      <c r="D501" s="63" t="s">
        <v>30</v>
      </c>
      <c r="E501" s="64"/>
      <c r="F501" s="65">
        <v>4.242</v>
      </c>
    </row>
    <row r="502" spans="1:6" s="1" customFormat="1" x14ac:dyDescent="0.25">
      <c r="A502" s="61" t="s">
        <v>247</v>
      </c>
      <c r="B502" s="62" t="s">
        <v>509</v>
      </c>
      <c r="C502" s="62" t="s">
        <v>150</v>
      </c>
      <c r="D502" s="63" t="s">
        <v>30</v>
      </c>
      <c r="E502" s="64"/>
      <c r="F502" s="65">
        <v>2.4864000000000002</v>
      </c>
    </row>
    <row r="503" spans="1:6" s="1" customFormat="1" x14ac:dyDescent="0.25">
      <c r="A503" s="61" t="s">
        <v>249</v>
      </c>
      <c r="B503" s="62" t="s">
        <v>216</v>
      </c>
      <c r="C503" s="62" t="s">
        <v>217</v>
      </c>
      <c r="D503" s="63" t="s">
        <v>30</v>
      </c>
      <c r="E503" s="64"/>
      <c r="F503" s="65">
        <v>19.4712</v>
      </c>
    </row>
    <row r="504" spans="1:6" s="1" customFormat="1" x14ac:dyDescent="0.25">
      <c r="A504" s="61" t="s">
        <v>257</v>
      </c>
      <c r="B504" s="62" t="s">
        <v>149</v>
      </c>
      <c r="C504" s="62" t="s">
        <v>150</v>
      </c>
      <c r="D504" s="63" t="s">
        <v>30</v>
      </c>
      <c r="E504" s="64"/>
      <c r="F504" s="65">
        <v>1.3713</v>
      </c>
    </row>
    <row r="505" spans="1:6" s="1" customFormat="1" x14ac:dyDescent="0.25">
      <c r="A505" s="61" t="s">
        <v>259</v>
      </c>
      <c r="B505" s="62" t="s">
        <v>592</v>
      </c>
      <c r="C505" s="62" t="s">
        <v>593</v>
      </c>
      <c r="D505" s="63" t="s">
        <v>30</v>
      </c>
      <c r="E505" s="64"/>
      <c r="F505" s="65">
        <v>0.421568</v>
      </c>
    </row>
    <row r="506" spans="1:6" s="1" customFormat="1" x14ac:dyDescent="0.25">
      <c r="A506" s="61" t="s">
        <v>263</v>
      </c>
      <c r="B506" s="62" t="s">
        <v>814</v>
      </c>
      <c r="C506" s="62" t="s">
        <v>153</v>
      </c>
      <c r="D506" s="63" t="s">
        <v>30</v>
      </c>
      <c r="E506" s="64"/>
      <c r="F506" s="65">
        <v>0.195525</v>
      </c>
    </row>
    <row r="507" spans="1:6" s="1" customFormat="1" x14ac:dyDescent="0.25">
      <c r="A507" s="61" t="s">
        <v>266</v>
      </c>
      <c r="B507" s="62" t="s">
        <v>152</v>
      </c>
      <c r="C507" s="62" t="s">
        <v>153</v>
      </c>
      <c r="D507" s="63" t="s">
        <v>30</v>
      </c>
      <c r="E507" s="64"/>
      <c r="F507" s="65">
        <v>8.8230000000000004</v>
      </c>
    </row>
    <row r="508" spans="1:6" s="1" customFormat="1" x14ac:dyDescent="0.25">
      <c r="A508" s="61" t="s">
        <v>276</v>
      </c>
      <c r="B508" s="62" t="s">
        <v>595</v>
      </c>
      <c r="C508" s="62" t="s">
        <v>596</v>
      </c>
      <c r="D508" s="63" t="s">
        <v>30</v>
      </c>
      <c r="E508" s="64"/>
      <c r="F508" s="65">
        <v>2.5030999999999999</v>
      </c>
    </row>
    <row r="509" spans="1:6" s="1" customFormat="1" ht="24" x14ac:dyDescent="0.25">
      <c r="A509" s="61" t="s">
        <v>280</v>
      </c>
      <c r="B509" s="62" t="s">
        <v>667</v>
      </c>
      <c r="C509" s="62" t="s">
        <v>668</v>
      </c>
      <c r="D509" s="63" t="s">
        <v>30</v>
      </c>
      <c r="E509" s="64"/>
      <c r="F509" s="65">
        <v>4.9409999999999998</v>
      </c>
    </row>
    <row r="510" spans="1:6" s="1" customFormat="1" x14ac:dyDescent="0.25">
      <c r="A510" s="61" t="s">
        <v>284</v>
      </c>
      <c r="B510" s="62" t="s">
        <v>598</v>
      </c>
      <c r="C510" s="62" t="s">
        <v>599</v>
      </c>
      <c r="D510" s="63" t="s">
        <v>30</v>
      </c>
      <c r="E510" s="64"/>
      <c r="F510" s="65">
        <v>2.2395999999999998</v>
      </c>
    </row>
    <row r="511" spans="1:6" s="1" customFormat="1" x14ac:dyDescent="0.25">
      <c r="A511" s="61" t="s">
        <v>294</v>
      </c>
      <c r="B511" s="62" t="s">
        <v>642</v>
      </c>
      <c r="C511" s="62" t="s">
        <v>643</v>
      </c>
      <c r="D511" s="63" t="s">
        <v>30</v>
      </c>
      <c r="E511" s="64"/>
      <c r="F511" s="102">
        <v>9</v>
      </c>
    </row>
    <row r="512" spans="1:6" s="1" customFormat="1" ht="24" x14ac:dyDescent="0.25">
      <c r="A512" s="61" t="s">
        <v>295</v>
      </c>
      <c r="B512" s="62" t="s">
        <v>28</v>
      </c>
      <c r="C512" s="62" t="s">
        <v>29</v>
      </c>
      <c r="D512" s="63" t="s">
        <v>30</v>
      </c>
      <c r="E512" s="64"/>
      <c r="F512" s="65">
        <v>17.303000000000001</v>
      </c>
    </row>
    <row r="513" spans="1:6" s="1" customFormat="1" x14ac:dyDescent="0.25">
      <c r="A513" s="55"/>
      <c r="B513" s="56"/>
      <c r="C513" s="57" t="s">
        <v>293</v>
      </c>
      <c r="D513" s="58"/>
      <c r="E513" s="59"/>
      <c r="F513" s="60"/>
    </row>
    <row r="514" spans="1:6" s="1" customFormat="1" x14ac:dyDescent="0.25">
      <c r="A514" s="61" t="s">
        <v>296</v>
      </c>
      <c r="B514" s="62" t="s">
        <v>368</v>
      </c>
      <c r="C514" s="62" t="s">
        <v>369</v>
      </c>
      <c r="D514" s="63" t="s">
        <v>76</v>
      </c>
      <c r="E514" s="64"/>
      <c r="F514" s="65">
        <v>2.6389999999999998</v>
      </c>
    </row>
    <row r="515" spans="1:6" s="1" customFormat="1" x14ac:dyDescent="0.25">
      <c r="A515" s="61" t="s">
        <v>297</v>
      </c>
      <c r="B515" s="62" t="s">
        <v>474</v>
      </c>
      <c r="C515" s="62" t="s">
        <v>475</v>
      </c>
      <c r="D515" s="63" t="s">
        <v>76</v>
      </c>
      <c r="E515" s="64"/>
      <c r="F515" s="65">
        <v>22.025500000000001</v>
      </c>
    </row>
    <row r="516" spans="1:6" s="1" customFormat="1" x14ac:dyDescent="0.25">
      <c r="A516" s="61" t="s">
        <v>298</v>
      </c>
      <c r="B516" s="62" t="s">
        <v>391</v>
      </c>
      <c r="C516" s="62" t="s">
        <v>392</v>
      </c>
      <c r="D516" s="63" t="s">
        <v>76</v>
      </c>
      <c r="E516" s="64"/>
      <c r="F516" s="65">
        <v>64.249499999999998</v>
      </c>
    </row>
    <row r="517" spans="1:6" s="1" customFormat="1" x14ac:dyDescent="0.25">
      <c r="A517" s="61" t="s">
        <v>299</v>
      </c>
      <c r="B517" s="62" t="s">
        <v>158</v>
      </c>
      <c r="C517" s="62" t="s">
        <v>159</v>
      </c>
      <c r="D517" s="63" t="s">
        <v>76</v>
      </c>
      <c r="E517" s="64"/>
      <c r="F517" s="65">
        <v>105.0672</v>
      </c>
    </row>
    <row r="518" spans="1:6" s="1" customFormat="1" x14ac:dyDescent="0.25">
      <c r="A518" s="61" t="s">
        <v>300</v>
      </c>
      <c r="B518" s="62" t="s">
        <v>513</v>
      </c>
      <c r="C518" s="62" t="s">
        <v>514</v>
      </c>
      <c r="D518" s="63" t="s">
        <v>76</v>
      </c>
      <c r="E518" s="64"/>
      <c r="F518" s="65">
        <v>5.7119999999999997</v>
      </c>
    </row>
    <row r="519" spans="1:6" s="1" customFormat="1" x14ac:dyDescent="0.25">
      <c r="A519" s="61" t="s">
        <v>301</v>
      </c>
      <c r="B519" s="62" t="s">
        <v>394</v>
      </c>
      <c r="C519" s="62" t="s">
        <v>395</v>
      </c>
      <c r="D519" s="63" t="s">
        <v>76</v>
      </c>
      <c r="E519" s="64"/>
      <c r="F519" s="65">
        <v>5.5210999999999997</v>
      </c>
    </row>
    <row r="520" spans="1:6" s="1" customFormat="1" x14ac:dyDescent="0.25">
      <c r="A520" s="61" t="s">
        <v>303</v>
      </c>
      <c r="B520" s="62" t="s">
        <v>235</v>
      </c>
      <c r="C520" s="62" t="s">
        <v>159</v>
      </c>
      <c r="D520" s="63" t="s">
        <v>76</v>
      </c>
      <c r="E520" s="64"/>
      <c r="F520" s="65">
        <v>42.3964</v>
      </c>
    </row>
    <row r="521" spans="1:6" s="1" customFormat="1" x14ac:dyDescent="0.25">
      <c r="A521" s="61" t="s">
        <v>304</v>
      </c>
      <c r="B521" s="62" t="s">
        <v>833</v>
      </c>
      <c r="C521" s="62" t="s">
        <v>834</v>
      </c>
      <c r="D521" s="63" t="s">
        <v>61</v>
      </c>
      <c r="E521" s="64"/>
      <c r="F521" s="65">
        <v>0.14022499999999999</v>
      </c>
    </row>
    <row r="522" spans="1:6" s="1" customFormat="1" x14ac:dyDescent="0.25">
      <c r="A522" s="61" t="s">
        <v>305</v>
      </c>
      <c r="B522" s="62" t="s">
        <v>535</v>
      </c>
      <c r="C522" s="62" t="s">
        <v>536</v>
      </c>
      <c r="D522" s="63" t="s">
        <v>61</v>
      </c>
      <c r="E522" s="64"/>
      <c r="F522" s="65">
        <v>2.6509999999999999E-2</v>
      </c>
    </row>
    <row r="523" spans="1:6" s="1" customFormat="1" x14ac:dyDescent="0.25">
      <c r="A523" s="61" t="s">
        <v>306</v>
      </c>
      <c r="B523" s="62" t="s">
        <v>601</v>
      </c>
      <c r="C523" s="62" t="s">
        <v>602</v>
      </c>
      <c r="D523" s="63" t="s">
        <v>61</v>
      </c>
      <c r="E523" s="64"/>
      <c r="F523" s="65">
        <v>7.5239999999999997E-4</v>
      </c>
    </row>
    <row r="524" spans="1:6" s="1" customFormat="1" x14ac:dyDescent="0.25">
      <c r="A524" s="61" t="s">
        <v>307</v>
      </c>
      <c r="B524" s="62" t="s">
        <v>604</v>
      </c>
      <c r="C524" s="62" t="s">
        <v>605</v>
      </c>
      <c r="D524" s="63" t="s">
        <v>166</v>
      </c>
      <c r="E524" s="64"/>
      <c r="F524" s="65">
        <v>0.12540000000000001</v>
      </c>
    </row>
    <row r="525" spans="1:6" s="1" customFormat="1" x14ac:dyDescent="0.25">
      <c r="A525" s="61" t="s">
        <v>308</v>
      </c>
      <c r="B525" s="62" t="s">
        <v>418</v>
      </c>
      <c r="C525" s="62" t="s">
        <v>419</v>
      </c>
      <c r="D525" s="63" t="s">
        <v>61</v>
      </c>
      <c r="E525" s="64"/>
      <c r="F525" s="65">
        <v>3.6865000000000002E-2</v>
      </c>
    </row>
    <row r="526" spans="1:6" s="1" customFormat="1" x14ac:dyDescent="0.25">
      <c r="A526" s="61" t="s">
        <v>309</v>
      </c>
      <c r="B526" s="62" t="s">
        <v>161</v>
      </c>
      <c r="C526" s="62" t="s">
        <v>162</v>
      </c>
      <c r="D526" s="63" t="s">
        <v>61</v>
      </c>
      <c r="E526" s="64"/>
      <c r="F526" s="65">
        <v>6.9869000000000001E-2</v>
      </c>
    </row>
    <row r="527" spans="1:6" s="1" customFormat="1" x14ac:dyDescent="0.25">
      <c r="A527" s="61" t="s">
        <v>853</v>
      </c>
      <c r="B527" s="62" t="s">
        <v>670</v>
      </c>
      <c r="C527" s="62" t="s">
        <v>671</v>
      </c>
      <c r="D527" s="63" t="s">
        <v>61</v>
      </c>
      <c r="E527" s="64"/>
      <c r="F527" s="65">
        <v>2.862E-2</v>
      </c>
    </row>
    <row r="528" spans="1:6" s="1" customFormat="1" x14ac:dyDescent="0.25">
      <c r="A528" s="61" t="s">
        <v>860</v>
      </c>
      <c r="B528" s="62" t="s">
        <v>559</v>
      </c>
      <c r="C528" s="62" t="s">
        <v>560</v>
      </c>
      <c r="D528" s="63" t="s">
        <v>61</v>
      </c>
      <c r="E528" s="64"/>
      <c r="F528" s="65">
        <v>1.2991999999999999E-3</v>
      </c>
    </row>
    <row r="529" spans="1:6" s="1" customFormat="1" x14ac:dyDescent="0.25">
      <c r="A529" s="61" t="s">
        <v>874</v>
      </c>
      <c r="B529" s="62" t="s">
        <v>562</v>
      </c>
      <c r="C529" s="62" t="s">
        <v>563</v>
      </c>
      <c r="D529" s="63" t="s">
        <v>61</v>
      </c>
      <c r="E529" s="64"/>
      <c r="F529" s="65">
        <v>4.4543999999999999E-3</v>
      </c>
    </row>
    <row r="530" spans="1:6" s="1" customFormat="1" x14ac:dyDescent="0.25">
      <c r="A530" s="61" t="s">
        <v>876</v>
      </c>
      <c r="B530" s="62" t="s">
        <v>607</v>
      </c>
      <c r="C530" s="62" t="s">
        <v>608</v>
      </c>
      <c r="D530" s="63" t="s">
        <v>61</v>
      </c>
      <c r="E530" s="64"/>
      <c r="F530" s="65">
        <v>2.09E-5</v>
      </c>
    </row>
    <row r="531" spans="1:6" s="1" customFormat="1" x14ac:dyDescent="0.25">
      <c r="A531" s="61" t="s">
        <v>877</v>
      </c>
      <c r="B531" s="62" t="s">
        <v>836</v>
      </c>
      <c r="C531" s="62" t="s">
        <v>837</v>
      </c>
      <c r="D531" s="63" t="s">
        <v>61</v>
      </c>
      <c r="E531" s="64"/>
      <c r="F531" s="65">
        <v>5.6880000000000003E-3</v>
      </c>
    </row>
    <row r="532" spans="1:6" s="1" customFormat="1" x14ac:dyDescent="0.25">
      <c r="A532" s="61" t="s">
        <v>878</v>
      </c>
      <c r="B532" s="62" t="s">
        <v>673</v>
      </c>
      <c r="C532" s="62" t="s">
        <v>674</v>
      </c>
      <c r="D532" s="63" t="s">
        <v>61</v>
      </c>
      <c r="E532" s="64"/>
      <c r="F532" s="65">
        <v>5.04E-2</v>
      </c>
    </row>
    <row r="533" spans="1:6" s="1" customFormat="1" x14ac:dyDescent="0.25">
      <c r="A533" s="61" t="s">
        <v>879</v>
      </c>
      <c r="B533" s="62" t="s">
        <v>610</v>
      </c>
      <c r="C533" s="62" t="s">
        <v>611</v>
      </c>
      <c r="D533" s="63" t="s">
        <v>166</v>
      </c>
      <c r="E533" s="64"/>
      <c r="F533" s="65">
        <v>0.16719999999999999</v>
      </c>
    </row>
    <row r="534" spans="1:6" s="1" customFormat="1" x14ac:dyDescent="0.25">
      <c r="A534" s="61" t="s">
        <v>880</v>
      </c>
      <c r="B534" s="62" t="s">
        <v>684</v>
      </c>
      <c r="C534" s="62" t="s">
        <v>685</v>
      </c>
      <c r="D534" s="63" t="s">
        <v>61</v>
      </c>
      <c r="E534" s="64"/>
      <c r="F534" s="65">
        <v>8.5500000000000007E-2</v>
      </c>
    </row>
    <row r="535" spans="1:6" s="1" customFormat="1" x14ac:dyDescent="0.25">
      <c r="A535" s="61" t="s">
        <v>881</v>
      </c>
      <c r="B535" s="62" t="s">
        <v>399</v>
      </c>
      <c r="C535" s="62" t="s">
        <v>400</v>
      </c>
      <c r="D535" s="63" t="s">
        <v>61</v>
      </c>
      <c r="E535" s="64"/>
      <c r="F535" s="65">
        <v>2.3602700000000001E-2</v>
      </c>
    </row>
    <row r="536" spans="1:6" s="1" customFormat="1" x14ac:dyDescent="0.25">
      <c r="A536" s="61" t="s">
        <v>882</v>
      </c>
      <c r="B536" s="62" t="s">
        <v>200</v>
      </c>
      <c r="C536" s="62" t="s">
        <v>201</v>
      </c>
      <c r="D536" s="63" t="s">
        <v>61</v>
      </c>
      <c r="E536" s="64"/>
      <c r="F536" s="65">
        <v>2.0199999999999999E-2</v>
      </c>
    </row>
    <row r="537" spans="1:6" s="1" customFormat="1" x14ac:dyDescent="0.25">
      <c r="A537" s="61" t="s">
        <v>883</v>
      </c>
      <c r="B537" s="62" t="s">
        <v>459</v>
      </c>
      <c r="C537" s="62" t="s">
        <v>460</v>
      </c>
      <c r="D537" s="63" t="s">
        <v>61</v>
      </c>
      <c r="E537" s="64"/>
      <c r="F537" s="65">
        <v>1.02126E-2</v>
      </c>
    </row>
    <row r="538" spans="1:6" s="1" customFormat="1" ht="36" x14ac:dyDescent="0.25">
      <c r="A538" s="61" t="s">
        <v>884</v>
      </c>
      <c r="B538" s="62" t="s">
        <v>613</v>
      </c>
      <c r="C538" s="62" t="s">
        <v>614</v>
      </c>
      <c r="D538" s="63" t="s">
        <v>61</v>
      </c>
      <c r="E538" s="64"/>
      <c r="F538" s="65">
        <v>2.7169999999999998E-3</v>
      </c>
    </row>
    <row r="539" spans="1:6" s="1" customFormat="1" x14ac:dyDescent="0.25">
      <c r="A539" s="61" t="s">
        <v>885</v>
      </c>
      <c r="B539" s="62" t="s">
        <v>653</v>
      </c>
      <c r="C539" s="62" t="s">
        <v>654</v>
      </c>
      <c r="D539" s="63" t="s">
        <v>61</v>
      </c>
      <c r="E539" s="64"/>
      <c r="F539" s="65">
        <v>2.8799999999999999E-2</v>
      </c>
    </row>
    <row r="540" spans="1:6" s="1" customFormat="1" x14ac:dyDescent="0.25">
      <c r="A540" s="61" t="s">
        <v>886</v>
      </c>
      <c r="B540" s="62" t="s">
        <v>616</v>
      </c>
      <c r="C540" s="62" t="s">
        <v>617</v>
      </c>
      <c r="D540" s="63" t="s">
        <v>76</v>
      </c>
      <c r="E540" s="64"/>
      <c r="F540" s="65">
        <v>1.2748999999999999</v>
      </c>
    </row>
    <row r="541" spans="1:6" s="1" customFormat="1" x14ac:dyDescent="0.25">
      <c r="A541" s="61" t="s">
        <v>887</v>
      </c>
      <c r="B541" s="62" t="s">
        <v>619</v>
      </c>
      <c r="C541" s="62" t="s">
        <v>620</v>
      </c>
      <c r="D541" s="63" t="s">
        <v>61</v>
      </c>
      <c r="E541" s="64"/>
      <c r="F541" s="65">
        <v>2.09E-5</v>
      </c>
    </row>
    <row r="542" spans="1:6" s="1" customFormat="1" x14ac:dyDescent="0.25">
      <c r="A542" s="61" t="s">
        <v>888</v>
      </c>
      <c r="B542" s="62" t="s">
        <v>220</v>
      </c>
      <c r="C542" s="62" t="s">
        <v>221</v>
      </c>
      <c r="D542" s="63" t="s">
        <v>61</v>
      </c>
      <c r="E542" s="64"/>
      <c r="F542" s="65">
        <v>2.4569000000000001E-3</v>
      </c>
    </row>
    <row r="543" spans="1:6" s="1" customFormat="1" x14ac:dyDescent="0.25">
      <c r="A543" s="61" t="s">
        <v>889</v>
      </c>
      <c r="B543" s="62" t="s">
        <v>622</v>
      </c>
      <c r="C543" s="62" t="s">
        <v>623</v>
      </c>
      <c r="D543" s="63" t="s">
        <v>61</v>
      </c>
      <c r="E543" s="64"/>
      <c r="F543" s="65">
        <v>1.1913E-2</v>
      </c>
    </row>
    <row r="544" spans="1:6" s="1" customFormat="1" x14ac:dyDescent="0.25">
      <c r="A544" s="61" t="s">
        <v>890</v>
      </c>
      <c r="B544" s="62" t="s">
        <v>517</v>
      </c>
      <c r="C544" s="62" t="s">
        <v>518</v>
      </c>
      <c r="D544" s="63" t="s">
        <v>210</v>
      </c>
      <c r="E544" s="64"/>
      <c r="F544" s="65">
        <v>9.968</v>
      </c>
    </row>
    <row r="545" spans="1:6" s="1" customFormat="1" ht="24" x14ac:dyDescent="0.25">
      <c r="A545" s="61" t="s">
        <v>891</v>
      </c>
      <c r="B545" s="62" t="s">
        <v>565</v>
      </c>
      <c r="C545" s="62" t="s">
        <v>566</v>
      </c>
      <c r="D545" s="63" t="s">
        <v>61</v>
      </c>
      <c r="E545" s="64"/>
      <c r="F545" s="65">
        <v>8.7999999999999998E-5</v>
      </c>
    </row>
    <row r="546" spans="1:6" s="1" customFormat="1" ht="24" x14ac:dyDescent="0.25">
      <c r="A546" s="61" t="s">
        <v>892</v>
      </c>
      <c r="B546" s="62" t="s">
        <v>424</v>
      </c>
      <c r="C546" s="62" t="s">
        <v>425</v>
      </c>
      <c r="D546" s="63" t="s">
        <v>76</v>
      </c>
      <c r="E546" s="64"/>
      <c r="F546" s="65">
        <v>5.0500000000000003E-2</v>
      </c>
    </row>
    <row r="547" spans="1:6" s="1" customFormat="1" ht="24" x14ac:dyDescent="0.25">
      <c r="A547" s="61" t="s">
        <v>893</v>
      </c>
      <c r="B547" s="62" t="s">
        <v>520</v>
      </c>
      <c r="C547" s="62" t="s">
        <v>521</v>
      </c>
      <c r="D547" s="63" t="s">
        <v>76</v>
      </c>
      <c r="E547" s="64"/>
      <c r="F547" s="65">
        <v>0.1232</v>
      </c>
    </row>
    <row r="548" spans="1:6" s="1" customFormat="1" ht="24" x14ac:dyDescent="0.25">
      <c r="A548" s="61" t="s">
        <v>894</v>
      </c>
      <c r="B548" s="62" t="s">
        <v>372</v>
      </c>
      <c r="C548" s="62" t="s">
        <v>373</v>
      </c>
      <c r="D548" s="63" t="s">
        <v>76</v>
      </c>
      <c r="E548" s="64"/>
      <c r="F548" s="65">
        <v>4.4200000000000003E-2</v>
      </c>
    </row>
    <row r="549" spans="1:6" s="1" customFormat="1" ht="24" x14ac:dyDescent="0.25">
      <c r="A549" s="61" t="s">
        <v>895</v>
      </c>
      <c r="B549" s="62" t="s">
        <v>427</v>
      </c>
      <c r="C549" s="62" t="s">
        <v>428</v>
      </c>
      <c r="D549" s="63" t="s">
        <v>76</v>
      </c>
      <c r="E549" s="64"/>
      <c r="F549" s="65">
        <v>8.0799999999999997E-2</v>
      </c>
    </row>
    <row r="550" spans="1:6" s="1" customFormat="1" ht="24" x14ac:dyDescent="0.25">
      <c r="A550" s="61" t="s">
        <v>896</v>
      </c>
      <c r="B550" s="62" t="s">
        <v>402</v>
      </c>
      <c r="C550" s="62" t="s">
        <v>403</v>
      </c>
      <c r="D550" s="63" t="s">
        <v>76</v>
      </c>
      <c r="E550" s="64"/>
      <c r="F550" s="65">
        <v>1.359</v>
      </c>
    </row>
    <row r="551" spans="1:6" s="1" customFormat="1" x14ac:dyDescent="0.25">
      <c r="A551" s="61" t="s">
        <v>897</v>
      </c>
      <c r="B551" s="62" t="s">
        <v>541</v>
      </c>
      <c r="C551" s="62" t="s">
        <v>542</v>
      </c>
      <c r="D551" s="63" t="s">
        <v>166</v>
      </c>
      <c r="E551" s="64"/>
      <c r="F551" s="65">
        <v>9.1579999999999995</v>
      </c>
    </row>
    <row r="552" spans="1:6" s="1" customFormat="1" x14ac:dyDescent="0.25">
      <c r="A552" s="61" t="s">
        <v>898</v>
      </c>
      <c r="B552" s="62" t="s">
        <v>625</v>
      </c>
      <c r="C552" s="62" t="s">
        <v>626</v>
      </c>
      <c r="D552" s="63" t="s">
        <v>547</v>
      </c>
      <c r="E552" s="64"/>
      <c r="F552" s="65">
        <v>7.7329999999999997</v>
      </c>
    </row>
    <row r="553" spans="1:6" s="1" customFormat="1" x14ac:dyDescent="0.25">
      <c r="A553" s="61" t="s">
        <v>899</v>
      </c>
      <c r="B553" s="62" t="s">
        <v>568</v>
      </c>
      <c r="C553" s="62" t="s">
        <v>569</v>
      </c>
      <c r="D553" s="63" t="s">
        <v>61</v>
      </c>
      <c r="E553" s="64"/>
      <c r="F553" s="65">
        <v>5.7600000000000001E-4</v>
      </c>
    </row>
    <row r="554" spans="1:6" s="1" customFormat="1" x14ac:dyDescent="0.25">
      <c r="A554" s="61" t="s">
        <v>900</v>
      </c>
      <c r="B554" s="62" t="s">
        <v>628</v>
      </c>
      <c r="C554" s="62" t="s">
        <v>629</v>
      </c>
      <c r="D554" s="63" t="s">
        <v>166</v>
      </c>
      <c r="E554" s="64"/>
      <c r="F554" s="65">
        <v>6.2700000000000006E-2</v>
      </c>
    </row>
    <row r="555" spans="1:6" s="1" customFormat="1" x14ac:dyDescent="0.25">
      <c r="A555" s="61" t="s">
        <v>901</v>
      </c>
      <c r="B555" s="62" t="s">
        <v>544</v>
      </c>
      <c r="C555" s="62" t="s">
        <v>545</v>
      </c>
      <c r="D555" s="63" t="s">
        <v>61</v>
      </c>
      <c r="E555" s="64"/>
      <c r="F555" s="65">
        <v>3.6150000000000002E-3</v>
      </c>
    </row>
    <row r="556" spans="1:6" s="1" customFormat="1" x14ac:dyDescent="0.25">
      <c r="A556" s="61" t="s">
        <v>902</v>
      </c>
      <c r="B556" s="62" t="s">
        <v>206</v>
      </c>
      <c r="C556" s="62" t="s">
        <v>207</v>
      </c>
      <c r="D556" s="63" t="s">
        <v>76</v>
      </c>
      <c r="E556" s="64"/>
      <c r="F556" s="65">
        <v>6.2830000000000004</v>
      </c>
    </row>
    <row r="557" spans="1:6" s="1" customFormat="1" x14ac:dyDescent="0.25">
      <c r="A557" s="61" t="s">
        <v>903</v>
      </c>
      <c r="B557" s="62" t="s">
        <v>656</v>
      </c>
      <c r="C557" s="62" t="s">
        <v>657</v>
      </c>
      <c r="D557" s="63" t="s">
        <v>166</v>
      </c>
      <c r="E557" s="64"/>
      <c r="F557" s="65">
        <v>4.6185</v>
      </c>
    </row>
    <row r="558" spans="1:6" s="1" customFormat="1" x14ac:dyDescent="0.25">
      <c r="A558" s="61" t="s">
        <v>904</v>
      </c>
      <c r="B558" s="62" t="s">
        <v>847</v>
      </c>
      <c r="C558" s="62" t="s">
        <v>848</v>
      </c>
      <c r="D558" s="63" t="s">
        <v>61</v>
      </c>
      <c r="E558" s="64"/>
      <c r="F558" s="65">
        <v>0.17048199999999999</v>
      </c>
    </row>
    <row r="559" spans="1:6" s="1" customFormat="1" x14ac:dyDescent="0.25">
      <c r="A559" s="61" t="s">
        <v>905</v>
      </c>
      <c r="B559" s="62" t="s">
        <v>375</v>
      </c>
      <c r="C559" s="62" t="s">
        <v>376</v>
      </c>
      <c r="D559" s="63" t="s">
        <v>377</v>
      </c>
      <c r="E559" s="64"/>
      <c r="F559" s="65">
        <v>8.7159999999999993</v>
      </c>
    </row>
    <row r="560" spans="1:6" s="1" customFormat="1" x14ac:dyDescent="0.25">
      <c r="A560" s="61" t="s">
        <v>906</v>
      </c>
      <c r="B560" s="62" t="s">
        <v>817</v>
      </c>
      <c r="C560" s="62" t="s">
        <v>818</v>
      </c>
      <c r="D560" s="63" t="s">
        <v>76</v>
      </c>
      <c r="E560" s="64"/>
      <c r="F560" s="65">
        <v>1.2087000000000001</v>
      </c>
    </row>
    <row r="561" spans="1:6" s="1" customFormat="1" x14ac:dyDescent="0.25">
      <c r="A561" s="61" t="s">
        <v>907</v>
      </c>
      <c r="B561" s="62" t="s">
        <v>631</v>
      </c>
      <c r="C561" s="62" t="s">
        <v>632</v>
      </c>
      <c r="D561" s="63" t="s">
        <v>166</v>
      </c>
      <c r="E561" s="64"/>
      <c r="F561" s="65">
        <v>0.18392</v>
      </c>
    </row>
    <row r="562" spans="1:6" s="1" customFormat="1" x14ac:dyDescent="0.25">
      <c r="A562" s="61" t="s">
        <v>908</v>
      </c>
      <c r="B562" s="62" t="s">
        <v>208</v>
      </c>
      <c r="C562" s="62" t="s">
        <v>209</v>
      </c>
      <c r="D562" s="63" t="s">
        <v>210</v>
      </c>
      <c r="E562" s="64"/>
      <c r="F562" s="65">
        <v>72.753100000000003</v>
      </c>
    </row>
    <row r="563" spans="1:6" s="1" customFormat="1" x14ac:dyDescent="0.25">
      <c r="A563" s="61" t="s">
        <v>909</v>
      </c>
      <c r="B563" s="62" t="s">
        <v>236</v>
      </c>
      <c r="C563" s="62" t="s">
        <v>237</v>
      </c>
      <c r="D563" s="63" t="s">
        <v>210</v>
      </c>
      <c r="E563" s="64"/>
      <c r="F563" s="65">
        <v>0.3276</v>
      </c>
    </row>
    <row r="564" spans="1:6" s="1" customFormat="1" x14ac:dyDescent="0.25">
      <c r="A564" s="61" t="s">
        <v>910</v>
      </c>
      <c r="B564" s="62" t="s">
        <v>850</v>
      </c>
      <c r="C564" s="62" t="s">
        <v>851</v>
      </c>
      <c r="D564" s="63" t="s">
        <v>61</v>
      </c>
      <c r="E564" s="64"/>
      <c r="F564" s="65">
        <v>3.2785000000000002E-2</v>
      </c>
    </row>
    <row r="565" spans="1:6" s="1" customFormat="1" x14ac:dyDescent="0.25">
      <c r="A565" s="61" t="s">
        <v>911</v>
      </c>
      <c r="B565" s="62" t="s">
        <v>571</v>
      </c>
      <c r="C565" s="62" t="s">
        <v>572</v>
      </c>
      <c r="D565" s="63" t="s">
        <v>547</v>
      </c>
      <c r="E565" s="64"/>
      <c r="F565" s="102">
        <v>16</v>
      </c>
    </row>
    <row r="566" spans="1:6" s="1" customFormat="1" x14ac:dyDescent="0.25">
      <c r="A566" s="55"/>
      <c r="B566" s="56"/>
      <c r="C566" s="57" t="s">
        <v>302</v>
      </c>
      <c r="D566" s="58"/>
      <c r="E566" s="59"/>
      <c r="F566" s="60"/>
    </row>
    <row r="567" spans="1:6" s="1" customFormat="1" x14ac:dyDescent="0.25">
      <c r="A567" s="61" t="s">
        <v>912</v>
      </c>
      <c r="B567" s="62"/>
      <c r="C567" s="62" t="s">
        <v>852</v>
      </c>
      <c r="D567" s="63" t="s">
        <v>210</v>
      </c>
      <c r="E567" s="64"/>
      <c r="F567" s="65">
        <v>39.5</v>
      </c>
    </row>
    <row r="568" spans="1:6" s="1" customFormat="1" x14ac:dyDescent="0.25">
      <c r="A568" s="61" t="s">
        <v>913</v>
      </c>
      <c r="B568" s="62" t="s">
        <v>462</v>
      </c>
      <c r="C568" s="62" t="s">
        <v>463</v>
      </c>
      <c r="D568" s="63" t="s">
        <v>182</v>
      </c>
      <c r="E568" s="64"/>
      <c r="F568" s="65">
        <v>1.5828</v>
      </c>
    </row>
    <row r="569" spans="1:6" s="1" customFormat="1" x14ac:dyDescent="0.25">
      <c r="A569" s="61" t="s">
        <v>914</v>
      </c>
      <c r="B569" s="62" t="s">
        <v>462</v>
      </c>
      <c r="C569" s="62" t="s">
        <v>548</v>
      </c>
      <c r="D569" s="63" t="s">
        <v>547</v>
      </c>
      <c r="E569" s="64"/>
      <c r="F569" s="102">
        <v>4</v>
      </c>
    </row>
    <row r="570" spans="1:6" s="1" customFormat="1" x14ac:dyDescent="0.25">
      <c r="A570" s="61" t="s">
        <v>915</v>
      </c>
      <c r="B570" s="62" t="s">
        <v>462</v>
      </c>
      <c r="C570" s="62" t="s">
        <v>546</v>
      </c>
      <c r="D570" s="63" t="s">
        <v>547</v>
      </c>
      <c r="E570" s="64"/>
      <c r="F570" s="102">
        <v>14</v>
      </c>
    </row>
    <row r="571" spans="1:6" s="1" customFormat="1" x14ac:dyDescent="0.25">
      <c r="A571" s="61" t="s">
        <v>916</v>
      </c>
      <c r="B571" s="62" t="s">
        <v>462</v>
      </c>
      <c r="C571" s="62" t="s">
        <v>464</v>
      </c>
      <c r="D571" s="63" t="s">
        <v>182</v>
      </c>
      <c r="E571" s="64"/>
      <c r="F571" s="65">
        <v>7.9000000000000008E-3</v>
      </c>
    </row>
    <row r="572" spans="1:6" s="1" customFormat="1" x14ac:dyDescent="0.25">
      <c r="A572" s="55"/>
      <c r="B572" s="56"/>
      <c r="C572" s="57" t="s">
        <v>917</v>
      </c>
      <c r="D572" s="58"/>
      <c r="E572" s="59"/>
      <c r="F572" s="60"/>
    </row>
    <row r="573" spans="1:6" s="1" customFormat="1" x14ac:dyDescent="0.25">
      <c r="A573" s="61" t="s">
        <v>918</v>
      </c>
      <c r="B573" s="62"/>
      <c r="C573" s="62" t="s">
        <v>802</v>
      </c>
      <c r="D573" s="63" t="s">
        <v>547</v>
      </c>
      <c r="E573" s="64"/>
      <c r="F573" s="102">
        <v>1</v>
      </c>
    </row>
    <row r="574" spans="1:6" s="1" customFormat="1" x14ac:dyDescent="0.25">
      <c r="A574" s="61" t="s">
        <v>919</v>
      </c>
      <c r="B574" s="62"/>
      <c r="C574" s="62" t="s">
        <v>633</v>
      </c>
      <c r="D574" s="63" t="s">
        <v>547</v>
      </c>
      <c r="E574" s="64"/>
      <c r="F574" s="102">
        <v>1</v>
      </c>
    </row>
    <row r="575" spans="1:6" s="1" customFormat="1" x14ac:dyDescent="0.25">
      <c r="A575" s="61" t="s">
        <v>920</v>
      </c>
      <c r="B575" s="62"/>
      <c r="C575" s="62" t="s">
        <v>633</v>
      </c>
      <c r="D575" s="63" t="s">
        <v>547</v>
      </c>
      <c r="E575" s="64"/>
      <c r="F575" s="102">
        <v>2</v>
      </c>
    </row>
    <row r="576" spans="1:6" s="1" customFormat="1" x14ac:dyDescent="0.25">
      <c r="A576" s="155"/>
      <c r="B576" s="156"/>
      <c r="C576" s="156"/>
      <c r="D576" s="156"/>
      <c r="E576" s="156"/>
      <c r="F576" s="157"/>
    </row>
    <row r="577" spans="1:6" s="1" customFormat="1" ht="15.75" customHeight="1" x14ac:dyDescent="0.25">
      <c r="A577" s="184" t="s">
        <v>921</v>
      </c>
      <c r="B577" s="185"/>
      <c r="C577" s="185"/>
      <c r="D577" s="185"/>
      <c r="E577" s="185"/>
      <c r="F577" s="186"/>
    </row>
    <row r="578" spans="1:6" s="1" customFormat="1" x14ac:dyDescent="0.25">
      <c r="A578" s="77"/>
      <c r="B578" s="78"/>
      <c r="C578" s="103" t="s">
        <v>302</v>
      </c>
      <c r="D578" s="80"/>
      <c r="E578" s="81"/>
      <c r="F578" s="83"/>
    </row>
    <row r="579" spans="1:6" s="1" customFormat="1" x14ac:dyDescent="0.25">
      <c r="A579" s="61" t="s">
        <v>19</v>
      </c>
      <c r="B579" s="62"/>
      <c r="C579" s="62" t="s">
        <v>875</v>
      </c>
      <c r="D579" s="63" t="s">
        <v>182</v>
      </c>
      <c r="E579" s="64"/>
      <c r="F579" s="65">
        <v>1.8160000000000001</v>
      </c>
    </row>
    <row r="580" spans="1:6" s="1" customFormat="1" x14ac:dyDescent="0.25">
      <c r="A580" s="158"/>
      <c r="B580" s="158"/>
      <c r="C580" s="158"/>
      <c r="D580" s="158"/>
      <c r="E580" s="158"/>
      <c r="F580" s="158"/>
    </row>
    <row r="581" spans="1:6" s="1" customFormat="1" x14ac:dyDescent="0.25">
      <c r="A581" s="66"/>
      <c r="B581" s="159" t="s">
        <v>310</v>
      </c>
      <c r="C581" s="159"/>
      <c r="D581" s="159" t="s">
        <v>311</v>
      </c>
      <c r="E581" s="159"/>
      <c r="F581" s="159"/>
    </row>
  </sheetData>
  <mergeCells count="81">
    <mergeCell ref="B2:F2"/>
    <mergeCell ref="B3:F3"/>
    <mergeCell ref="D5:F5"/>
    <mergeCell ref="B6:F6"/>
    <mergeCell ref="B8:F8"/>
    <mergeCell ref="B9:F9"/>
    <mergeCell ref="C11:F11"/>
    <mergeCell ref="A12:A13"/>
    <mergeCell ref="B12:B13"/>
    <mergeCell ref="C12:C13"/>
    <mergeCell ref="D12:D13"/>
    <mergeCell ref="E12:F12"/>
    <mergeCell ref="A15:F15"/>
    <mergeCell ref="C16:D16"/>
    <mergeCell ref="E17:F17"/>
    <mergeCell ref="E20:F20"/>
    <mergeCell ref="E22:F22"/>
    <mergeCell ref="E25:F25"/>
    <mergeCell ref="E27:F27"/>
    <mergeCell ref="E32:F32"/>
    <mergeCell ref="E36:F36"/>
    <mergeCell ref="C41:D41"/>
    <mergeCell ref="C42:D42"/>
    <mergeCell ref="E43:F43"/>
    <mergeCell ref="E54:F54"/>
    <mergeCell ref="E72:F72"/>
    <mergeCell ref="E93:F93"/>
    <mergeCell ref="E114:F114"/>
    <mergeCell ref="E122:F122"/>
    <mergeCell ref="E123:F123"/>
    <mergeCell ref="C124:D124"/>
    <mergeCell ref="E125:F125"/>
    <mergeCell ref="E143:F143"/>
    <mergeCell ref="E161:F161"/>
    <mergeCell ref="E179:F179"/>
    <mergeCell ref="E191:F191"/>
    <mergeCell ref="E206:F206"/>
    <mergeCell ref="E207:F207"/>
    <mergeCell ref="E222:F222"/>
    <mergeCell ref="E223:F223"/>
    <mergeCell ref="C233:D233"/>
    <mergeCell ref="D234:F234"/>
    <mergeCell ref="E235:F235"/>
    <mergeCell ref="E258:F258"/>
    <mergeCell ref="E259:F259"/>
    <mergeCell ref="E261:F261"/>
    <mergeCell ref="E264:F264"/>
    <mergeCell ref="E272:F272"/>
    <mergeCell ref="E281:F281"/>
    <mergeCell ref="E290:F290"/>
    <mergeCell ref="E313:F313"/>
    <mergeCell ref="E314:F314"/>
    <mergeCell ref="E316:F316"/>
    <mergeCell ref="E319:F319"/>
    <mergeCell ref="E327:F327"/>
    <mergeCell ref="E336:F336"/>
    <mergeCell ref="E345:F345"/>
    <mergeCell ref="E368:F368"/>
    <mergeCell ref="E369:F369"/>
    <mergeCell ref="E371:F371"/>
    <mergeCell ref="E374:F374"/>
    <mergeCell ref="E382:F382"/>
    <mergeCell ref="E391:F391"/>
    <mergeCell ref="E400:F400"/>
    <mergeCell ref="E423:F423"/>
    <mergeCell ref="C424:D424"/>
    <mergeCell ref="E425:F425"/>
    <mergeCell ref="E434:F434"/>
    <mergeCell ref="E443:F443"/>
    <mergeCell ref="E452:F452"/>
    <mergeCell ref="E453:F453"/>
    <mergeCell ref="E458:F458"/>
    <mergeCell ref="A580:F580"/>
    <mergeCell ref="B581:C581"/>
    <mergeCell ref="D581:F581"/>
    <mergeCell ref="E470:F470"/>
    <mergeCell ref="A471:F471"/>
    <mergeCell ref="A472:C472"/>
    <mergeCell ref="A473:F473"/>
    <mergeCell ref="A576:F576"/>
    <mergeCell ref="A577:F577"/>
  </mergeCells>
  <printOptions horizontalCentered="1"/>
  <pageMargins left="0.39" right="0.39" top="0.59" bottom="0.59" header="0.39" footer="0.39"/>
  <pageSetup paperSize="9" fitToHeight="10000" orientation="portrait" horizontalDpi="300" verticalDpi="300"/>
  <headerFooter>
    <oddHeader>&amp;Л&amp;9ПРОГРАММНЫЙ КОМПЛЕКС АВС-UZ (РЕДАКЦИЯ 2026.4)&amp;Ц&amp;С&amp;П202611410</oddHeader>
    <oddFooter>&amp;ЦСтраниц - &amp;К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5E1B-4BF4-43C2-B63F-AA581BAB95AB}">
  <sheetPr>
    <pageSetUpPr fitToPage="1"/>
  </sheetPr>
  <dimension ref="A1:K145"/>
  <sheetViews>
    <sheetView showGridLines="0" topLeftCell="A105" workbookViewId="0">
      <selection activeCell="G132" sqref="G132"/>
    </sheetView>
  </sheetViews>
  <sheetFormatPr defaultRowHeight="12.75" x14ac:dyDescent="0.2"/>
  <cols>
    <col min="1" max="1" width="4.5703125" style="14" customWidth="1"/>
    <col min="2" max="2" width="13.5703125" style="14" customWidth="1"/>
    <col min="3" max="3" width="52.140625" style="14" customWidth="1"/>
    <col min="4" max="5" width="10.140625" style="14" customWidth="1"/>
    <col min="6" max="6" width="10.85546875" style="14" bestFit="1" customWidth="1"/>
    <col min="7" max="7" width="15.140625" style="14" bestFit="1" customWidth="1"/>
    <col min="8" max="9" width="10.140625" style="14" customWidth="1"/>
    <col min="10" max="10" width="13.5703125" style="14" bestFit="1" customWidth="1"/>
    <col min="11" max="11" width="14.42578125" style="115" bestFit="1" customWidth="1"/>
    <col min="12" max="16384" width="9.140625" style="14"/>
  </cols>
  <sheetData>
    <row r="1" spans="1:11" s="1" customFormat="1" x14ac:dyDescent="0.25">
      <c r="I1" s="2" t="s">
        <v>312</v>
      </c>
      <c r="K1" s="114"/>
    </row>
    <row r="2" spans="1:11" s="1" customFormat="1" x14ac:dyDescent="0.25">
      <c r="B2" s="131" t="s">
        <v>1</v>
      </c>
      <c r="C2" s="131"/>
      <c r="D2" s="131"/>
      <c r="E2" s="131"/>
      <c r="F2" s="131"/>
      <c r="G2" s="131"/>
      <c r="H2" s="131"/>
      <c r="K2" s="114"/>
    </row>
    <row r="3" spans="1:11" s="1" customFormat="1" x14ac:dyDescent="0.25">
      <c r="A3" s="3"/>
      <c r="B3" s="132" t="s">
        <v>2</v>
      </c>
      <c r="C3" s="132"/>
      <c r="D3" s="132"/>
      <c r="E3" s="132"/>
      <c r="F3" s="132"/>
      <c r="G3" s="132"/>
      <c r="H3" s="132"/>
      <c r="K3" s="114"/>
    </row>
    <row r="4" spans="1:11" s="1" customFormat="1" x14ac:dyDescent="0.25">
      <c r="C4" s="4"/>
      <c r="D4" s="4"/>
      <c r="E4" s="4"/>
      <c r="F4" s="4"/>
      <c r="G4" s="4"/>
      <c r="H4" s="4"/>
      <c r="I4" s="4"/>
      <c r="K4" s="114"/>
    </row>
    <row r="5" spans="1:11" s="1" customFormat="1" ht="15.75" x14ac:dyDescent="0.25">
      <c r="A5" s="5"/>
      <c r="B5" s="5"/>
      <c r="C5" s="6" t="s">
        <v>313</v>
      </c>
      <c r="D5" s="6" t="s">
        <v>314</v>
      </c>
      <c r="E5" s="133" t="s">
        <v>4</v>
      </c>
      <c r="F5" s="133"/>
      <c r="G5" s="133"/>
      <c r="H5" s="133"/>
      <c r="I5" s="67"/>
      <c r="K5" s="114"/>
    </row>
    <row r="6" spans="1:11" s="1" customFormat="1" x14ac:dyDescent="0.25">
      <c r="A6" s="3"/>
      <c r="B6" s="134" t="s">
        <v>5</v>
      </c>
      <c r="C6" s="134"/>
      <c r="D6" s="134"/>
      <c r="E6" s="134"/>
      <c r="F6" s="134"/>
      <c r="G6" s="134"/>
      <c r="H6" s="134"/>
      <c r="K6" s="114"/>
    </row>
    <row r="7" spans="1:11" s="1" customFormat="1" x14ac:dyDescent="0.25">
      <c r="D7" s="4"/>
      <c r="F7" s="160" t="s">
        <v>6</v>
      </c>
      <c r="G7" s="160"/>
      <c r="H7" s="161"/>
      <c r="I7" s="161"/>
      <c r="K7" s="114"/>
    </row>
    <row r="8" spans="1:11" s="1" customFormat="1" x14ac:dyDescent="0.25">
      <c r="A8" s="7" t="s">
        <v>7</v>
      </c>
      <c r="B8" s="131" t="s">
        <v>336</v>
      </c>
      <c r="C8" s="131"/>
      <c r="D8" s="131"/>
      <c r="E8" s="131"/>
      <c r="F8" s="131"/>
      <c r="G8" s="131"/>
      <c r="H8" s="131"/>
      <c r="I8" s="4"/>
      <c r="K8" s="114"/>
    </row>
    <row r="9" spans="1:11" s="1" customFormat="1" x14ac:dyDescent="0.25">
      <c r="A9" s="3"/>
      <c r="B9" s="132" t="s">
        <v>9</v>
      </c>
      <c r="C9" s="132"/>
      <c r="D9" s="132"/>
      <c r="E9" s="132"/>
      <c r="F9" s="132"/>
      <c r="G9" s="132"/>
      <c r="H9" s="132"/>
      <c r="K9" s="114"/>
    </row>
    <row r="10" spans="1:11" s="1" customFormat="1" x14ac:dyDescent="0.25">
      <c r="K10" s="114"/>
    </row>
    <row r="11" spans="1:11" s="1" customFormat="1" x14ac:dyDescent="0.25">
      <c r="A11" s="8" t="s">
        <v>10</v>
      </c>
      <c r="B11" s="8"/>
      <c r="C11" s="161"/>
      <c r="D11" s="161"/>
      <c r="E11" s="161"/>
      <c r="F11" s="161"/>
      <c r="G11" s="161"/>
      <c r="H11" s="161"/>
      <c r="I11" s="161"/>
      <c r="K11" s="114"/>
    </row>
    <row r="12" spans="1:11" x14ac:dyDescent="0.2">
      <c r="A12" s="68"/>
      <c r="B12" s="68"/>
      <c r="C12" s="68"/>
      <c r="D12" s="68"/>
      <c r="E12" s="68"/>
      <c r="F12" s="162" t="s">
        <v>315</v>
      </c>
      <c r="G12" s="162"/>
      <c r="H12" s="163" t="s">
        <v>316</v>
      </c>
      <c r="I12" s="163"/>
      <c r="J12" s="68"/>
    </row>
    <row r="13" spans="1:11" x14ac:dyDescent="0.2">
      <c r="A13" s="164" t="s">
        <v>317</v>
      </c>
      <c r="B13" s="164"/>
      <c r="C13" s="164"/>
      <c r="D13" s="69"/>
      <c r="E13" s="70"/>
      <c r="F13" s="71" t="s">
        <v>922</v>
      </c>
      <c r="G13" s="71" t="s">
        <v>318</v>
      </c>
      <c r="H13" s="71" t="s">
        <v>319</v>
      </c>
      <c r="I13" s="71" t="s">
        <v>318</v>
      </c>
    </row>
    <row r="14" spans="1:11" x14ac:dyDescent="0.2">
      <c r="A14" s="68"/>
      <c r="B14" s="68"/>
      <c r="C14" s="68"/>
      <c r="D14" s="68"/>
      <c r="E14" s="68"/>
      <c r="F14" s="68"/>
      <c r="G14" s="68"/>
      <c r="H14" s="68"/>
      <c r="I14" s="68"/>
      <c r="J14" s="68"/>
    </row>
    <row r="15" spans="1:11" s="1" customFormat="1" x14ac:dyDescent="0.25">
      <c r="A15" s="165" t="s">
        <v>320</v>
      </c>
      <c r="B15" s="165"/>
      <c r="C15" s="165"/>
      <c r="D15" s="165"/>
      <c r="E15" s="165"/>
      <c r="F15" s="165"/>
      <c r="G15" s="165"/>
      <c r="H15" s="165"/>
      <c r="I15" s="72" t="s">
        <v>321</v>
      </c>
      <c r="K15" s="114"/>
    </row>
    <row r="16" spans="1:11" s="9" customFormat="1" x14ac:dyDescent="0.25">
      <c r="A16" s="166" t="s">
        <v>11</v>
      </c>
      <c r="B16" s="166" t="s">
        <v>12</v>
      </c>
      <c r="C16" s="166" t="s">
        <v>13</v>
      </c>
      <c r="D16" s="166" t="s">
        <v>14</v>
      </c>
      <c r="E16" s="166" t="s">
        <v>15</v>
      </c>
      <c r="F16" s="169" t="s">
        <v>317</v>
      </c>
      <c r="G16" s="170"/>
      <c r="H16" s="170"/>
      <c r="I16" s="171"/>
      <c r="K16" s="116"/>
    </row>
    <row r="17" spans="1:11" s="9" customFormat="1" ht="12.75" customHeight="1" x14ac:dyDescent="0.25">
      <c r="A17" s="167"/>
      <c r="B17" s="167"/>
      <c r="C17" s="167"/>
      <c r="D17" s="167"/>
      <c r="E17" s="167"/>
      <c r="F17" s="172" t="s">
        <v>322</v>
      </c>
      <c r="G17" s="173"/>
      <c r="H17" s="172" t="s">
        <v>323</v>
      </c>
      <c r="I17" s="173"/>
      <c r="K17" s="116"/>
    </row>
    <row r="18" spans="1:11" s="9" customFormat="1" x14ac:dyDescent="0.25">
      <c r="A18" s="168"/>
      <c r="B18" s="168"/>
      <c r="C18" s="168"/>
      <c r="D18" s="168"/>
      <c r="E18" s="168"/>
      <c r="F18" s="73" t="s">
        <v>324</v>
      </c>
      <c r="G18" s="73" t="s">
        <v>325</v>
      </c>
      <c r="H18" s="73" t="s">
        <v>324</v>
      </c>
      <c r="I18" s="73" t="s">
        <v>325</v>
      </c>
      <c r="K18" s="116"/>
    </row>
    <row r="19" spans="1:11" s="13" customFormat="1" x14ac:dyDescent="0.2">
      <c r="A19" s="74">
        <v>1</v>
      </c>
      <c r="B19" s="75">
        <v>2</v>
      </c>
      <c r="C19" s="75">
        <v>3</v>
      </c>
      <c r="D19" s="75">
        <v>4</v>
      </c>
      <c r="E19" s="75">
        <v>5</v>
      </c>
      <c r="F19" s="76">
        <v>6</v>
      </c>
      <c r="G19" s="76">
        <v>7</v>
      </c>
      <c r="H19" s="76">
        <v>8</v>
      </c>
      <c r="I19" s="76">
        <v>9</v>
      </c>
      <c r="K19" s="117"/>
    </row>
    <row r="20" spans="1:11" ht="13.5" thickBot="1" x14ac:dyDescent="0.25">
      <c r="A20" s="176"/>
      <c r="B20" s="177"/>
      <c r="C20" s="177"/>
      <c r="D20" s="177"/>
      <c r="E20" s="177"/>
      <c r="F20" s="177"/>
      <c r="G20" s="177"/>
      <c r="H20" s="177"/>
      <c r="I20" s="178"/>
    </row>
    <row r="21" spans="1:11" s="1" customFormat="1" ht="13.5" thickTop="1" x14ac:dyDescent="0.25">
      <c r="A21" s="179" t="s">
        <v>326</v>
      </c>
      <c r="B21" s="180"/>
      <c r="C21" s="180"/>
      <c r="D21" s="180"/>
      <c r="E21" s="180"/>
      <c r="F21" s="180"/>
      <c r="G21" s="180"/>
      <c r="H21" s="180"/>
      <c r="I21" s="181"/>
      <c r="J21" s="21"/>
      <c r="K21" s="114"/>
    </row>
    <row r="22" spans="1:11" s="1" customFormat="1" x14ac:dyDescent="0.25">
      <c r="A22" s="77"/>
      <c r="B22" s="78"/>
      <c r="C22" s="79" t="s">
        <v>291</v>
      </c>
      <c r="D22" s="80"/>
      <c r="E22" s="81"/>
      <c r="F22" s="81"/>
      <c r="G22" s="82"/>
      <c r="H22" s="81"/>
      <c r="I22" s="83"/>
      <c r="K22" s="114"/>
    </row>
    <row r="23" spans="1:11" s="1" customFormat="1" x14ac:dyDescent="0.25">
      <c r="A23" s="84" t="s">
        <v>19</v>
      </c>
      <c r="B23" s="85" t="s">
        <v>19</v>
      </c>
      <c r="C23" s="85" t="s">
        <v>37</v>
      </c>
      <c r="D23" s="86" t="s">
        <v>26</v>
      </c>
      <c r="E23" s="87">
        <v>1596.8934999999999</v>
      </c>
      <c r="F23" s="120">
        <v>29818.17</v>
      </c>
      <c r="G23" s="89">
        <f>E23*F23</f>
        <v>47616441.854894996</v>
      </c>
      <c r="H23" s="90" t="s">
        <v>319</v>
      </c>
      <c r="I23" s="91" t="s">
        <v>319</v>
      </c>
      <c r="K23" s="114"/>
    </row>
    <row r="24" spans="1:11" s="1" customFormat="1" x14ac:dyDescent="0.25">
      <c r="A24" s="84" t="s">
        <v>31</v>
      </c>
      <c r="B24" s="85" t="s">
        <v>24</v>
      </c>
      <c r="C24" s="85" t="s">
        <v>25</v>
      </c>
      <c r="D24" s="86" t="s">
        <v>26</v>
      </c>
      <c r="E24" s="87">
        <v>232.97839999999999</v>
      </c>
      <c r="F24" s="90" t="s">
        <v>319</v>
      </c>
      <c r="G24" s="91" t="s">
        <v>319</v>
      </c>
      <c r="H24" s="90" t="s">
        <v>319</v>
      </c>
      <c r="I24" s="91" t="s">
        <v>319</v>
      </c>
      <c r="K24" s="114"/>
    </row>
    <row r="25" spans="1:11" s="1" customFormat="1" x14ac:dyDescent="0.25">
      <c r="A25" s="92"/>
      <c r="B25" s="174" t="s">
        <v>327</v>
      </c>
      <c r="C25" s="175"/>
      <c r="D25" s="93" t="s">
        <v>321</v>
      </c>
      <c r="E25" s="94"/>
      <c r="F25" s="94"/>
      <c r="G25" s="95">
        <f>G23</f>
        <v>47616441.854894996</v>
      </c>
      <c r="H25" s="94"/>
      <c r="I25" s="94" t="s">
        <v>319</v>
      </c>
      <c r="K25" s="114"/>
    </row>
    <row r="26" spans="1:11" s="1" customFormat="1" x14ac:dyDescent="0.25">
      <c r="A26" s="155"/>
      <c r="B26" s="156"/>
      <c r="C26" s="156"/>
      <c r="D26" s="156"/>
      <c r="E26" s="156"/>
      <c r="F26" s="156"/>
      <c r="G26" s="156"/>
      <c r="H26" s="156"/>
      <c r="I26" s="157"/>
      <c r="K26" s="114"/>
    </row>
    <row r="27" spans="1:11" s="1" customFormat="1" x14ac:dyDescent="0.25">
      <c r="A27" s="77"/>
      <c r="B27" s="78"/>
      <c r="C27" s="79" t="s">
        <v>292</v>
      </c>
      <c r="D27" s="80"/>
      <c r="E27" s="81"/>
      <c r="F27" s="81"/>
      <c r="G27" s="82"/>
      <c r="H27" s="81"/>
      <c r="I27" s="83"/>
      <c r="K27" s="114"/>
    </row>
    <row r="28" spans="1:11" s="1" customFormat="1" x14ac:dyDescent="0.25">
      <c r="A28" s="84" t="s">
        <v>24</v>
      </c>
      <c r="B28" s="85" t="s">
        <v>187</v>
      </c>
      <c r="C28" s="85" t="s">
        <v>188</v>
      </c>
      <c r="D28" s="86" t="s">
        <v>30</v>
      </c>
      <c r="E28" s="87">
        <v>7.1999999999999995E-2</v>
      </c>
      <c r="F28" s="96">
        <v>148613</v>
      </c>
      <c r="G28" s="89">
        <f>E28*F28</f>
        <v>10700.135999999999</v>
      </c>
      <c r="H28" s="90" t="s">
        <v>319</v>
      </c>
      <c r="I28" s="91" t="s">
        <v>319</v>
      </c>
      <c r="K28" s="114"/>
    </row>
    <row r="29" spans="1:11" s="1" customFormat="1" ht="36" x14ac:dyDescent="0.25">
      <c r="A29" s="84" t="s">
        <v>42</v>
      </c>
      <c r="B29" s="85" t="s">
        <v>454</v>
      </c>
      <c r="C29" s="85" t="s">
        <v>455</v>
      </c>
      <c r="D29" s="86" t="s">
        <v>30</v>
      </c>
      <c r="E29" s="87">
        <v>4.5289000000000001</v>
      </c>
      <c r="F29" s="96">
        <v>45775</v>
      </c>
      <c r="G29" s="89">
        <f t="shared" ref="G29:G62" si="0">E29*F29</f>
        <v>207310.39750000002</v>
      </c>
      <c r="H29" s="90" t="s">
        <v>319</v>
      </c>
      <c r="I29" s="91" t="s">
        <v>319</v>
      </c>
      <c r="K29" s="114"/>
    </row>
    <row r="30" spans="1:11" s="1" customFormat="1" ht="24" x14ac:dyDescent="0.25">
      <c r="A30" s="84" t="s">
        <v>50</v>
      </c>
      <c r="B30" s="85" t="s">
        <v>345</v>
      </c>
      <c r="C30" s="85" t="s">
        <v>346</v>
      </c>
      <c r="D30" s="86" t="s">
        <v>30</v>
      </c>
      <c r="E30" s="87">
        <v>20.359500000000001</v>
      </c>
      <c r="F30" s="96">
        <v>203442</v>
      </c>
      <c r="G30" s="89">
        <f t="shared" si="0"/>
        <v>4141977.3990000002</v>
      </c>
      <c r="H30" s="90" t="s">
        <v>319</v>
      </c>
      <c r="I30" s="91" t="s">
        <v>319</v>
      </c>
      <c r="K30" s="114"/>
    </row>
    <row r="31" spans="1:11" s="1" customFormat="1" ht="36" x14ac:dyDescent="0.25">
      <c r="A31" s="84" t="s">
        <v>58</v>
      </c>
      <c r="B31" s="85" t="s">
        <v>82</v>
      </c>
      <c r="C31" s="85" t="s">
        <v>83</v>
      </c>
      <c r="D31" s="86" t="s">
        <v>30</v>
      </c>
      <c r="E31" s="87">
        <v>14.123200000000001</v>
      </c>
      <c r="F31" s="96">
        <v>275240</v>
      </c>
      <c r="G31" s="89">
        <f t="shared" si="0"/>
        <v>3887269.568</v>
      </c>
      <c r="H31" s="90" t="s">
        <v>319</v>
      </c>
      <c r="I31" s="91" t="s">
        <v>319</v>
      </c>
      <c r="K31" s="114"/>
    </row>
    <row r="32" spans="1:11" s="1" customFormat="1" x14ac:dyDescent="0.25">
      <c r="A32" s="84" t="s">
        <v>66</v>
      </c>
      <c r="B32" s="85" t="s">
        <v>190</v>
      </c>
      <c r="C32" s="85" t="s">
        <v>191</v>
      </c>
      <c r="D32" s="86" t="s">
        <v>30</v>
      </c>
      <c r="E32" s="87">
        <v>0.79066000000000003</v>
      </c>
      <c r="F32" s="96">
        <v>1640</v>
      </c>
      <c r="G32" s="89">
        <f t="shared" si="0"/>
        <v>1296.6824000000001</v>
      </c>
      <c r="H32" s="90" t="s">
        <v>319</v>
      </c>
      <c r="I32" s="91" t="s">
        <v>319</v>
      </c>
      <c r="K32" s="114"/>
    </row>
    <row r="33" spans="1:11" s="1" customFormat="1" x14ac:dyDescent="0.25">
      <c r="A33" s="84" t="s">
        <v>77</v>
      </c>
      <c r="B33" s="85" t="s">
        <v>140</v>
      </c>
      <c r="C33" s="85" t="s">
        <v>141</v>
      </c>
      <c r="D33" s="86" t="s">
        <v>30</v>
      </c>
      <c r="E33" s="87">
        <v>10.452500000000001</v>
      </c>
      <c r="F33" s="96">
        <v>1014</v>
      </c>
      <c r="G33" s="89">
        <f t="shared" si="0"/>
        <v>10598.835000000001</v>
      </c>
      <c r="H33" s="90" t="s">
        <v>319</v>
      </c>
      <c r="I33" s="91" t="s">
        <v>319</v>
      </c>
      <c r="K33" s="114"/>
    </row>
    <row r="34" spans="1:11" s="1" customFormat="1" x14ac:dyDescent="0.25">
      <c r="A34" s="84" t="s">
        <v>84</v>
      </c>
      <c r="B34" s="85" t="s">
        <v>348</v>
      </c>
      <c r="C34" s="85" t="s">
        <v>349</v>
      </c>
      <c r="D34" s="86" t="s">
        <v>30</v>
      </c>
      <c r="E34" s="87">
        <v>8.484</v>
      </c>
      <c r="F34" s="96">
        <v>7104</v>
      </c>
      <c r="G34" s="89">
        <f t="shared" si="0"/>
        <v>60270.336000000003</v>
      </c>
      <c r="H34" s="90" t="s">
        <v>319</v>
      </c>
      <c r="I34" s="91" t="s">
        <v>319</v>
      </c>
      <c r="K34" s="114"/>
    </row>
    <row r="35" spans="1:11" s="1" customFormat="1" ht="36" x14ac:dyDescent="0.25">
      <c r="A35" s="84" t="s">
        <v>87</v>
      </c>
      <c r="B35" s="85" t="s">
        <v>93</v>
      </c>
      <c r="C35" s="85" t="s">
        <v>94</v>
      </c>
      <c r="D35" s="86" t="s">
        <v>30</v>
      </c>
      <c r="E35" s="87">
        <v>7.9194000000000004</v>
      </c>
      <c r="F35" s="96">
        <v>153724</v>
      </c>
      <c r="G35" s="89">
        <f t="shared" si="0"/>
        <v>1217401.8456000001</v>
      </c>
      <c r="H35" s="90" t="s">
        <v>319</v>
      </c>
      <c r="I35" s="91" t="s">
        <v>319</v>
      </c>
      <c r="K35" s="114"/>
    </row>
    <row r="36" spans="1:11" s="1" customFormat="1" ht="24" x14ac:dyDescent="0.25">
      <c r="A36" s="84" t="s">
        <v>98</v>
      </c>
      <c r="B36" s="85" t="s">
        <v>233</v>
      </c>
      <c r="C36" s="85" t="s">
        <v>234</v>
      </c>
      <c r="D36" s="86" t="s">
        <v>30</v>
      </c>
      <c r="E36" s="87">
        <v>0.1393375</v>
      </c>
      <c r="F36" s="96">
        <v>244250</v>
      </c>
      <c r="G36" s="89">
        <f t="shared" si="0"/>
        <v>34033.184375000004</v>
      </c>
      <c r="H36" s="90" t="s">
        <v>319</v>
      </c>
      <c r="I36" s="91" t="s">
        <v>319</v>
      </c>
      <c r="K36" s="114"/>
    </row>
    <row r="37" spans="1:11" s="1" customFormat="1" ht="24" x14ac:dyDescent="0.25">
      <c r="A37" s="84" t="s">
        <v>106</v>
      </c>
      <c r="B37" s="85" t="s">
        <v>143</v>
      </c>
      <c r="C37" s="85" t="s">
        <v>144</v>
      </c>
      <c r="D37" s="86" t="s">
        <v>30</v>
      </c>
      <c r="E37" s="87">
        <v>34.1751</v>
      </c>
      <c r="F37" s="96">
        <v>244250</v>
      </c>
      <c r="G37" s="89">
        <f t="shared" si="0"/>
        <v>8347268.1749999998</v>
      </c>
      <c r="H37" s="90" t="s">
        <v>319</v>
      </c>
      <c r="I37" s="91" t="s">
        <v>319</v>
      </c>
      <c r="K37" s="114"/>
    </row>
    <row r="38" spans="1:11" s="1" customFormat="1" ht="24" x14ac:dyDescent="0.25">
      <c r="A38" s="84" t="s">
        <v>114</v>
      </c>
      <c r="B38" s="85" t="s">
        <v>582</v>
      </c>
      <c r="C38" s="85" t="s">
        <v>583</v>
      </c>
      <c r="D38" s="86" t="s">
        <v>30</v>
      </c>
      <c r="E38" s="87">
        <v>56.648200000000003</v>
      </c>
      <c r="F38" s="96">
        <v>241677</v>
      </c>
      <c r="G38" s="89">
        <f t="shared" si="0"/>
        <v>13690567.031400001</v>
      </c>
      <c r="H38" s="90" t="s">
        <v>319</v>
      </c>
      <c r="I38" s="91" t="s">
        <v>319</v>
      </c>
      <c r="K38" s="114"/>
    </row>
    <row r="39" spans="1:11" s="1" customFormat="1" ht="24" x14ac:dyDescent="0.25">
      <c r="A39" s="84" t="s">
        <v>119</v>
      </c>
      <c r="B39" s="85" t="s">
        <v>146</v>
      </c>
      <c r="C39" s="85" t="s">
        <v>147</v>
      </c>
      <c r="D39" s="86" t="s">
        <v>30</v>
      </c>
      <c r="E39" s="87">
        <v>46.581699999999998</v>
      </c>
      <c r="F39" s="96">
        <v>241677</v>
      </c>
      <c r="G39" s="89">
        <f t="shared" si="0"/>
        <v>11257725.5109</v>
      </c>
      <c r="H39" s="90" t="s">
        <v>319</v>
      </c>
      <c r="I39" s="91" t="s">
        <v>319</v>
      </c>
      <c r="K39" s="114"/>
    </row>
    <row r="40" spans="1:11" s="1" customFormat="1" x14ac:dyDescent="0.25">
      <c r="A40" s="84" t="s">
        <v>123</v>
      </c>
      <c r="B40" s="85" t="s">
        <v>826</v>
      </c>
      <c r="C40" s="85" t="s">
        <v>827</v>
      </c>
      <c r="D40" s="86" t="s">
        <v>30</v>
      </c>
      <c r="E40" s="87">
        <v>1.5911999999999999</v>
      </c>
      <c r="F40" s="96">
        <v>10970</v>
      </c>
      <c r="G40" s="89">
        <f t="shared" si="0"/>
        <v>17455.464</v>
      </c>
      <c r="H40" s="90" t="s">
        <v>319</v>
      </c>
      <c r="I40" s="91" t="s">
        <v>319</v>
      </c>
      <c r="K40" s="114"/>
    </row>
    <row r="41" spans="1:11" s="1" customFormat="1" x14ac:dyDescent="0.25">
      <c r="A41" s="84" t="s">
        <v>128</v>
      </c>
      <c r="B41" s="85" t="s">
        <v>530</v>
      </c>
      <c r="C41" s="85" t="s">
        <v>531</v>
      </c>
      <c r="D41" s="86" t="s">
        <v>30</v>
      </c>
      <c r="E41" s="87">
        <v>0.40783000000000003</v>
      </c>
      <c r="F41" s="96">
        <v>6374</v>
      </c>
      <c r="G41" s="89">
        <f t="shared" si="0"/>
        <v>2599.5084200000001</v>
      </c>
      <c r="H41" s="90" t="s">
        <v>319</v>
      </c>
      <c r="I41" s="91" t="s">
        <v>319</v>
      </c>
      <c r="K41" s="114"/>
    </row>
    <row r="42" spans="1:11" s="1" customFormat="1" ht="24" x14ac:dyDescent="0.25">
      <c r="A42" s="84" t="s">
        <v>134</v>
      </c>
      <c r="B42" s="85" t="s">
        <v>649</v>
      </c>
      <c r="C42" s="85" t="s">
        <v>650</v>
      </c>
      <c r="D42" s="86" t="s">
        <v>30</v>
      </c>
      <c r="E42" s="87">
        <v>7.1999999999999995E-2</v>
      </c>
      <c r="F42" s="88">
        <v>1593.45</v>
      </c>
      <c r="G42" s="89">
        <f t="shared" si="0"/>
        <v>114.72839999999999</v>
      </c>
      <c r="H42" s="90" t="s">
        <v>319</v>
      </c>
      <c r="I42" s="91" t="s">
        <v>319</v>
      </c>
      <c r="K42" s="114"/>
    </row>
    <row r="43" spans="1:11" s="1" customFormat="1" ht="24" x14ac:dyDescent="0.25">
      <c r="A43" s="84" t="s">
        <v>170</v>
      </c>
      <c r="B43" s="85" t="s">
        <v>556</v>
      </c>
      <c r="C43" s="85" t="s">
        <v>557</v>
      </c>
      <c r="D43" s="86" t="s">
        <v>30</v>
      </c>
      <c r="E43" s="87">
        <v>1.1200000000000001</v>
      </c>
      <c r="F43" s="96">
        <v>201765</v>
      </c>
      <c r="G43" s="89">
        <f t="shared" si="0"/>
        <v>225976.80000000002</v>
      </c>
      <c r="H43" s="90" t="s">
        <v>319</v>
      </c>
      <c r="I43" s="91" t="s">
        <v>319</v>
      </c>
      <c r="K43" s="114"/>
    </row>
    <row r="44" spans="1:11" s="1" customFormat="1" x14ac:dyDescent="0.25">
      <c r="A44" s="84" t="s">
        <v>177</v>
      </c>
      <c r="B44" s="85" t="s">
        <v>358</v>
      </c>
      <c r="C44" s="85" t="s">
        <v>359</v>
      </c>
      <c r="D44" s="86" t="s">
        <v>30</v>
      </c>
      <c r="E44" s="87">
        <v>14.605499999999999</v>
      </c>
      <c r="F44" s="96">
        <v>201087</v>
      </c>
      <c r="G44" s="89">
        <f t="shared" si="0"/>
        <v>2936976.1784999999</v>
      </c>
      <c r="H44" s="90" t="s">
        <v>319</v>
      </c>
      <c r="I44" s="91" t="s">
        <v>319</v>
      </c>
      <c r="K44" s="114"/>
    </row>
    <row r="45" spans="1:11" s="1" customFormat="1" x14ac:dyDescent="0.25">
      <c r="A45" s="84" t="s">
        <v>180</v>
      </c>
      <c r="B45" s="85" t="s">
        <v>585</v>
      </c>
      <c r="C45" s="85" t="s">
        <v>586</v>
      </c>
      <c r="D45" s="86" t="s">
        <v>30</v>
      </c>
      <c r="E45" s="87">
        <v>2.0815000000000001</v>
      </c>
      <c r="F45" s="96">
        <v>2033</v>
      </c>
      <c r="G45" s="89">
        <f t="shared" si="0"/>
        <v>4231.6895000000004</v>
      </c>
      <c r="H45" s="90" t="s">
        <v>319</v>
      </c>
      <c r="I45" s="91" t="s">
        <v>319</v>
      </c>
      <c r="K45" s="114"/>
    </row>
    <row r="46" spans="1:11" s="1" customFormat="1" ht="36" x14ac:dyDescent="0.25">
      <c r="A46" s="84" t="s">
        <v>183</v>
      </c>
      <c r="B46" s="85" t="s">
        <v>386</v>
      </c>
      <c r="C46" s="85" t="s">
        <v>387</v>
      </c>
      <c r="D46" s="86" t="s">
        <v>30</v>
      </c>
      <c r="E46" s="87">
        <v>16.2195</v>
      </c>
      <c r="F46" s="96">
        <v>3477</v>
      </c>
      <c r="G46" s="89">
        <f t="shared" si="0"/>
        <v>56395.201500000003</v>
      </c>
      <c r="H46" s="90" t="s">
        <v>319</v>
      </c>
      <c r="I46" s="91" t="s">
        <v>319</v>
      </c>
      <c r="K46" s="114"/>
    </row>
    <row r="47" spans="1:11" s="1" customFormat="1" ht="24" x14ac:dyDescent="0.25">
      <c r="A47" s="84" t="s">
        <v>211</v>
      </c>
      <c r="B47" s="85" t="s">
        <v>811</v>
      </c>
      <c r="C47" s="85" t="s">
        <v>812</v>
      </c>
      <c r="D47" s="86" t="s">
        <v>30</v>
      </c>
      <c r="E47" s="87">
        <v>0.2923</v>
      </c>
      <c r="F47" s="88">
        <v>103016.03</v>
      </c>
      <c r="G47" s="89">
        <f t="shared" si="0"/>
        <v>30111.585568999999</v>
      </c>
      <c r="H47" s="90" t="s">
        <v>319</v>
      </c>
      <c r="I47" s="91" t="s">
        <v>319</v>
      </c>
      <c r="K47" s="114"/>
    </row>
    <row r="48" spans="1:11" s="1" customFormat="1" x14ac:dyDescent="0.25">
      <c r="A48" s="84" t="s">
        <v>222</v>
      </c>
      <c r="B48" s="85" t="s">
        <v>829</v>
      </c>
      <c r="C48" s="85" t="s">
        <v>830</v>
      </c>
      <c r="D48" s="86" t="s">
        <v>30</v>
      </c>
      <c r="E48" s="87">
        <v>1.7853999999999998E-2</v>
      </c>
      <c r="F48" s="96">
        <v>25071</v>
      </c>
      <c r="G48" s="89">
        <f t="shared" si="0"/>
        <v>447.61763399999995</v>
      </c>
      <c r="H48" s="90" t="s">
        <v>319</v>
      </c>
      <c r="I48" s="91" t="s">
        <v>319</v>
      </c>
      <c r="K48" s="114"/>
    </row>
    <row r="49" spans="1:11" s="1" customFormat="1" x14ac:dyDescent="0.25">
      <c r="A49" s="84" t="s">
        <v>223</v>
      </c>
      <c r="B49" s="85" t="s">
        <v>411</v>
      </c>
      <c r="C49" s="85" t="s">
        <v>412</v>
      </c>
      <c r="D49" s="86" t="s">
        <v>30</v>
      </c>
      <c r="E49" s="87">
        <v>5.7519999999999998</v>
      </c>
      <c r="F49" s="96">
        <v>1592</v>
      </c>
      <c r="G49" s="89">
        <f t="shared" si="0"/>
        <v>9157.1839999999993</v>
      </c>
      <c r="H49" s="90" t="s">
        <v>319</v>
      </c>
      <c r="I49" s="91" t="s">
        <v>319</v>
      </c>
      <c r="K49" s="114"/>
    </row>
    <row r="50" spans="1:11" s="1" customFormat="1" ht="24" x14ac:dyDescent="0.25">
      <c r="A50" s="84" t="s">
        <v>226</v>
      </c>
      <c r="B50" s="85" t="s">
        <v>588</v>
      </c>
      <c r="C50" s="85" t="s">
        <v>589</v>
      </c>
      <c r="D50" s="86" t="s">
        <v>30</v>
      </c>
      <c r="E50" s="87">
        <v>6.1917999999999997</v>
      </c>
      <c r="F50" s="96">
        <v>19050</v>
      </c>
      <c r="G50" s="89">
        <f t="shared" si="0"/>
        <v>117953.79</v>
      </c>
      <c r="H50" s="90" t="s">
        <v>319</v>
      </c>
      <c r="I50" s="91" t="s">
        <v>319</v>
      </c>
      <c r="K50" s="114"/>
    </row>
    <row r="51" spans="1:11" s="1" customFormat="1" x14ac:dyDescent="0.25">
      <c r="A51" s="84" t="s">
        <v>238</v>
      </c>
      <c r="B51" s="85" t="s">
        <v>351</v>
      </c>
      <c r="C51" s="85" t="s">
        <v>352</v>
      </c>
      <c r="D51" s="86" t="s">
        <v>30</v>
      </c>
      <c r="E51" s="87">
        <v>4.242</v>
      </c>
      <c r="F51" s="96">
        <v>201002</v>
      </c>
      <c r="G51" s="89">
        <f t="shared" si="0"/>
        <v>852650.48400000005</v>
      </c>
      <c r="H51" s="90" t="s">
        <v>319</v>
      </c>
      <c r="I51" s="91" t="s">
        <v>319</v>
      </c>
      <c r="K51" s="114"/>
    </row>
    <row r="52" spans="1:11" s="1" customFormat="1" x14ac:dyDescent="0.25">
      <c r="A52" s="84" t="s">
        <v>247</v>
      </c>
      <c r="B52" s="85" t="s">
        <v>509</v>
      </c>
      <c r="C52" s="85" t="s">
        <v>150</v>
      </c>
      <c r="D52" s="86" t="s">
        <v>30</v>
      </c>
      <c r="E52" s="87">
        <v>2.4864000000000002</v>
      </c>
      <c r="F52" s="96">
        <v>57304</v>
      </c>
      <c r="G52" s="89">
        <f t="shared" si="0"/>
        <v>142480.66560000001</v>
      </c>
      <c r="H52" s="90" t="s">
        <v>319</v>
      </c>
      <c r="I52" s="91" t="s">
        <v>319</v>
      </c>
      <c r="K52" s="114"/>
    </row>
    <row r="53" spans="1:11" s="1" customFormat="1" ht="24" x14ac:dyDescent="0.25">
      <c r="A53" s="84" t="s">
        <v>249</v>
      </c>
      <c r="B53" s="85" t="s">
        <v>216</v>
      </c>
      <c r="C53" s="85" t="s">
        <v>217</v>
      </c>
      <c r="D53" s="86" t="s">
        <v>30</v>
      </c>
      <c r="E53" s="87">
        <v>19.4712</v>
      </c>
      <c r="F53" s="96">
        <v>7132</v>
      </c>
      <c r="G53" s="89">
        <f t="shared" si="0"/>
        <v>138868.59839999999</v>
      </c>
      <c r="H53" s="90" t="s">
        <v>319</v>
      </c>
      <c r="I53" s="91" t="s">
        <v>319</v>
      </c>
      <c r="K53" s="114"/>
    </row>
    <row r="54" spans="1:11" s="1" customFormat="1" x14ac:dyDescent="0.25">
      <c r="A54" s="84" t="s">
        <v>257</v>
      </c>
      <c r="B54" s="85" t="s">
        <v>149</v>
      </c>
      <c r="C54" s="85" t="s">
        <v>150</v>
      </c>
      <c r="D54" s="86" t="s">
        <v>30</v>
      </c>
      <c r="E54" s="87">
        <v>1.3713</v>
      </c>
      <c r="F54" s="96">
        <v>57304</v>
      </c>
      <c r="G54" s="89">
        <f t="shared" si="0"/>
        <v>78580.975200000001</v>
      </c>
      <c r="H54" s="90" t="s">
        <v>319</v>
      </c>
      <c r="I54" s="91" t="s">
        <v>319</v>
      </c>
      <c r="K54" s="114"/>
    </row>
    <row r="55" spans="1:11" s="1" customFormat="1" x14ac:dyDescent="0.25">
      <c r="A55" s="84" t="s">
        <v>259</v>
      </c>
      <c r="B55" s="85" t="s">
        <v>592</v>
      </c>
      <c r="C55" s="85" t="s">
        <v>593</v>
      </c>
      <c r="D55" s="86" t="s">
        <v>30</v>
      </c>
      <c r="E55" s="87">
        <v>0.421568</v>
      </c>
      <c r="F55" s="88">
        <v>8424.9500000000007</v>
      </c>
      <c r="G55" s="89">
        <f t="shared" si="0"/>
        <v>3551.6893216000003</v>
      </c>
      <c r="H55" s="90" t="s">
        <v>319</v>
      </c>
      <c r="I55" s="91" t="s">
        <v>319</v>
      </c>
      <c r="K55" s="114"/>
    </row>
    <row r="56" spans="1:11" s="1" customFormat="1" x14ac:dyDescent="0.25">
      <c r="A56" s="84" t="s">
        <v>263</v>
      </c>
      <c r="B56" s="85" t="s">
        <v>814</v>
      </c>
      <c r="C56" s="85" t="s">
        <v>153</v>
      </c>
      <c r="D56" s="86" t="s">
        <v>30</v>
      </c>
      <c r="E56" s="87">
        <v>0.195525</v>
      </c>
      <c r="F56" s="96">
        <v>107615</v>
      </c>
      <c r="G56" s="89">
        <f t="shared" si="0"/>
        <v>21041.422875</v>
      </c>
      <c r="H56" s="90" t="s">
        <v>319</v>
      </c>
      <c r="I56" s="91" t="s">
        <v>319</v>
      </c>
      <c r="K56" s="114"/>
    </row>
    <row r="57" spans="1:11" s="1" customFormat="1" x14ac:dyDescent="0.25">
      <c r="A57" s="84" t="s">
        <v>266</v>
      </c>
      <c r="B57" s="85" t="s">
        <v>152</v>
      </c>
      <c r="C57" s="85" t="s">
        <v>153</v>
      </c>
      <c r="D57" s="86" t="s">
        <v>30</v>
      </c>
      <c r="E57" s="87">
        <v>8.8230000000000004</v>
      </c>
      <c r="F57" s="96">
        <v>107615</v>
      </c>
      <c r="G57" s="89">
        <f t="shared" si="0"/>
        <v>949487.14500000002</v>
      </c>
      <c r="H57" s="90" t="s">
        <v>319</v>
      </c>
      <c r="I57" s="91" t="s">
        <v>319</v>
      </c>
      <c r="K57" s="114"/>
    </row>
    <row r="58" spans="1:11" s="1" customFormat="1" x14ac:dyDescent="0.25">
      <c r="A58" s="84" t="s">
        <v>276</v>
      </c>
      <c r="B58" s="85" t="s">
        <v>595</v>
      </c>
      <c r="C58" s="85" t="s">
        <v>596</v>
      </c>
      <c r="D58" s="86" t="s">
        <v>30</v>
      </c>
      <c r="E58" s="87">
        <v>2.5030999999999999</v>
      </c>
      <c r="F58" s="96">
        <v>140208</v>
      </c>
      <c r="G58" s="89">
        <f t="shared" si="0"/>
        <v>350954.64480000001</v>
      </c>
      <c r="H58" s="90" t="s">
        <v>319</v>
      </c>
      <c r="I58" s="91" t="s">
        <v>319</v>
      </c>
      <c r="K58" s="114"/>
    </row>
    <row r="59" spans="1:11" s="1" customFormat="1" ht="36" x14ac:dyDescent="0.25">
      <c r="A59" s="84" t="s">
        <v>280</v>
      </c>
      <c r="B59" s="85" t="s">
        <v>667</v>
      </c>
      <c r="C59" s="85" t="s">
        <v>668</v>
      </c>
      <c r="D59" s="86" t="s">
        <v>30</v>
      </c>
      <c r="E59" s="87">
        <v>4.9409999999999998</v>
      </c>
      <c r="F59" s="88">
        <v>5184.13</v>
      </c>
      <c r="G59" s="89">
        <f t="shared" si="0"/>
        <v>25614.786329999999</v>
      </c>
      <c r="H59" s="90" t="s">
        <v>319</v>
      </c>
      <c r="I59" s="91" t="s">
        <v>319</v>
      </c>
      <c r="K59" s="114"/>
    </row>
    <row r="60" spans="1:11" s="1" customFormat="1" x14ac:dyDescent="0.25">
      <c r="A60" s="84" t="s">
        <v>284</v>
      </c>
      <c r="B60" s="85" t="s">
        <v>598</v>
      </c>
      <c r="C60" s="85" t="s">
        <v>599</v>
      </c>
      <c r="D60" s="86" t="s">
        <v>30</v>
      </c>
      <c r="E60" s="87">
        <v>2.2395999999999998</v>
      </c>
      <c r="F60" s="96">
        <v>1634</v>
      </c>
      <c r="G60" s="89">
        <f t="shared" si="0"/>
        <v>3659.5063999999998</v>
      </c>
      <c r="H60" s="90" t="s">
        <v>319</v>
      </c>
      <c r="I60" s="91" t="s">
        <v>319</v>
      </c>
      <c r="K60" s="114"/>
    </row>
    <row r="61" spans="1:11" s="1" customFormat="1" x14ac:dyDescent="0.25">
      <c r="A61" s="84" t="s">
        <v>294</v>
      </c>
      <c r="B61" s="85" t="s">
        <v>642</v>
      </c>
      <c r="C61" s="85" t="s">
        <v>643</v>
      </c>
      <c r="D61" s="86" t="s">
        <v>30</v>
      </c>
      <c r="E61" s="89">
        <v>9</v>
      </c>
      <c r="F61" s="88">
        <v>10309.01</v>
      </c>
      <c r="G61" s="89">
        <f t="shared" si="0"/>
        <v>92781.09</v>
      </c>
      <c r="H61" s="90" t="s">
        <v>319</v>
      </c>
      <c r="I61" s="91" t="s">
        <v>319</v>
      </c>
      <c r="K61" s="114"/>
    </row>
    <row r="62" spans="1:11" s="1" customFormat="1" ht="24" x14ac:dyDescent="0.25">
      <c r="A62" s="84" t="s">
        <v>295</v>
      </c>
      <c r="B62" s="85" t="s">
        <v>28</v>
      </c>
      <c r="C62" s="85" t="s">
        <v>29</v>
      </c>
      <c r="D62" s="86" t="s">
        <v>30</v>
      </c>
      <c r="E62" s="87">
        <v>17.303000000000001</v>
      </c>
      <c r="F62" s="96">
        <v>276269</v>
      </c>
      <c r="G62" s="89">
        <f t="shared" si="0"/>
        <v>4780282.5070000002</v>
      </c>
      <c r="H62" s="90" t="s">
        <v>319</v>
      </c>
      <c r="I62" s="91" t="s">
        <v>319</v>
      </c>
      <c r="K62" s="114"/>
    </row>
    <row r="63" spans="1:11" s="1" customFormat="1" x14ac:dyDescent="0.25">
      <c r="A63" s="92"/>
      <c r="B63" s="174" t="s">
        <v>328</v>
      </c>
      <c r="C63" s="175"/>
      <c r="D63" s="93" t="s">
        <v>321</v>
      </c>
      <c r="E63" s="94"/>
      <c r="F63" s="94"/>
      <c r="G63" s="95">
        <f>SUM(G28:G62)</f>
        <v>53707792.36362458</v>
      </c>
      <c r="H63" s="94"/>
      <c r="I63" s="94" t="s">
        <v>319</v>
      </c>
      <c r="K63" s="114"/>
    </row>
    <row r="64" spans="1:11" s="1" customFormat="1" x14ac:dyDescent="0.25">
      <c r="A64" s="92"/>
      <c r="B64" s="174" t="s">
        <v>329</v>
      </c>
      <c r="C64" s="175"/>
      <c r="D64" s="93" t="s">
        <v>321</v>
      </c>
      <c r="E64" s="94"/>
      <c r="F64" s="94"/>
      <c r="G64" s="95" t="s">
        <v>319</v>
      </c>
      <c r="H64" s="94"/>
      <c r="I64" s="94" t="s">
        <v>319</v>
      </c>
      <c r="K64" s="114"/>
    </row>
    <row r="65" spans="1:11" s="1" customFormat="1" x14ac:dyDescent="0.25">
      <c r="A65" s="155"/>
      <c r="B65" s="156"/>
      <c r="C65" s="156"/>
      <c r="D65" s="156"/>
      <c r="E65" s="156"/>
      <c r="F65" s="156"/>
      <c r="G65" s="156"/>
      <c r="H65" s="156"/>
      <c r="I65" s="157"/>
      <c r="K65" s="114"/>
    </row>
    <row r="66" spans="1:11" s="1" customFormat="1" x14ac:dyDescent="0.25">
      <c r="A66" s="77"/>
      <c r="B66" s="78"/>
      <c r="C66" s="79" t="s">
        <v>293</v>
      </c>
      <c r="D66" s="80"/>
      <c r="E66" s="81"/>
      <c r="F66" s="81"/>
      <c r="G66" s="82"/>
      <c r="H66" s="81"/>
      <c r="I66" s="83"/>
      <c r="K66" s="114"/>
    </row>
    <row r="67" spans="1:11" s="1" customFormat="1" x14ac:dyDescent="0.25">
      <c r="A67" s="84" t="s">
        <v>296</v>
      </c>
      <c r="B67" s="85" t="s">
        <v>368</v>
      </c>
      <c r="C67" s="85" t="s">
        <v>369</v>
      </c>
      <c r="D67" s="86" t="s">
        <v>76</v>
      </c>
      <c r="E67" s="87">
        <v>2.6389999999999998</v>
      </c>
      <c r="F67" s="127">
        <v>430628</v>
      </c>
      <c r="G67" s="89">
        <f t="shared" ref="G67:G123" si="1">E67*F67</f>
        <v>1136427.2919999999</v>
      </c>
      <c r="H67" s="90" t="s">
        <v>319</v>
      </c>
      <c r="I67" s="91" t="s">
        <v>319</v>
      </c>
      <c r="K67" s="114"/>
    </row>
    <row r="68" spans="1:11" s="1" customFormat="1" x14ac:dyDescent="0.25">
      <c r="A68" s="84" t="s">
        <v>297</v>
      </c>
      <c r="B68" s="85" t="s">
        <v>474</v>
      </c>
      <c r="C68" s="85" t="s">
        <v>475</v>
      </c>
      <c r="D68" s="86" t="s">
        <v>76</v>
      </c>
      <c r="E68" s="87">
        <v>22.025500000000001</v>
      </c>
      <c r="F68" s="127">
        <v>485994</v>
      </c>
      <c r="G68" s="89">
        <f t="shared" si="1"/>
        <v>10704260.847000001</v>
      </c>
      <c r="H68" s="90" t="s">
        <v>319</v>
      </c>
      <c r="I68" s="91" t="s">
        <v>319</v>
      </c>
      <c r="K68" s="114"/>
    </row>
    <row r="69" spans="1:11" s="1" customFormat="1" x14ac:dyDescent="0.25">
      <c r="A69" s="84" t="s">
        <v>298</v>
      </c>
      <c r="B69" s="85" t="s">
        <v>391</v>
      </c>
      <c r="C69" s="85" t="s">
        <v>392</v>
      </c>
      <c r="D69" s="86" t="s">
        <v>76</v>
      </c>
      <c r="E69" s="87">
        <v>64.249499999999998</v>
      </c>
      <c r="F69" s="127">
        <v>530302</v>
      </c>
      <c r="G69" s="89">
        <f t="shared" si="1"/>
        <v>34071638.348999999</v>
      </c>
      <c r="H69" s="90" t="s">
        <v>319</v>
      </c>
      <c r="I69" s="91" t="s">
        <v>319</v>
      </c>
      <c r="K69" s="114"/>
    </row>
    <row r="70" spans="1:11" s="1" customFormat="1" x14ac:dyDescent="0.25">
      <c r="A70" s="84" t="s">
        <v>299</v>
      </c>
      <c r="B70" s="85" t="s">
        <v>158</v>
      </c>
      <c r="C70" s="85" t="s">
        <v>159</v>
      </c>
      <c r="D70" s="86" t="s">
        <v>76</v>
      </c>
      <c r="E70" s="87">
        <v>105.0672</v>
      </c>
      <c r="F70" s="127">
        <v>1000</v>
      </c>
      <c r="G70" s="89">
        <f t="shared" si="1"/>
        <v>105067.2</v>
      </c>
      <c r="H70" s="90" t="s">
        <v>319</v>
      </c>
      <c r="I70" s="91" t="s">
        <v>319</v>
      </c>
      <c r="K70" s="114"/>
    </row>
    <row r="71" spans="1:11" s="1" customFormat="1" x14ac:dyDescent="0.25">
      <c r="A71" s="84" t="s">
        <v>300</v>
      </c>
      <c r="B71" s="85" t="s">
        <v>513</v>
      </c>
      <c r="C71" s="85" t="s">
        <v>514</v>
      </c>
      <c r="D71" s="86" t="s">
        <v>76</v>
      </c>
      <c r="E71" s="87">
        <v>5.7119999999999997</v>
      </c>
      <c r="F71" s="127">
        <v>430628</v>
      </c>
      <c r="G71" s="89">
        <f t="shared" si="1"/>
        <v>2459747.1359999999</v>
      </c>
      <c r="H71" s="90" t="s">
        <v>319</v>
      </c>
      <c r="I71" s="91" t="s">
        <v>319</v>
      </c>
      <c r="K71" s="114"/>
    </row>
    <row r="72" spans="1:11" s="1" customFormat="1" ht="24" x14ac:dyDescent="0.25">
      <c r="A72" s="84" t="s">
        <v>301</v>
      </c>
      <c r="B72" s="85" t="s">
        <v>394</v>
      </c>
      <c r="C72" s="85" t="s">
        <v>395</v>
      </c>
      <c r="D72" s="86" t="s">
        <v>76</v>
      </c>
      <c r="E72" s="87">
        <v>5.5210999999999997</v>
      </c>
      <c r="F72" s="127">
        <v>416964</v>
      </c>
      <c r="G72" s="89">
        <f t="shared" si="1"/>
        <v>2302099.9403999997</v>
      </c>
      <c r="H72" s="90" t="s">
        <v>319</v>
      </c>
      <c r="I72" s="91" t="s">
        <v>319</v>
      </c>
      <c r="K72" s="114"/>
    </row>
    <row r="73" spans="1:11" s="1" customFormat="1" x14ac:dyDescent="0.25">
      <c r="A73" s="84" t="s">
        <v>303</v>
      </c>
      <c r="B73" s="85" t="s">
        <v>235</v>
      </c>
      <c r="C73" s="85" t="s">
        <v>159</v>
      </c>
      <c r="D73" s="86" t="s">
        <v>76</v>
      </c>
      <c r="E73" s="87">
        <v>42.3964</v>
      </c>
      <c r="F73" s="127">
        <v>1000</v>
      </c>
      <c r="G73" s="89">
        <f t="shared" si="1"/>
        <v>42396.4</v>
      </c>
      <c r="H73" s="90" t="s">
        <v>319</v>
      </c>
      <c r="I73" s="91" t="s">
        <v>319</v>
      </c>
      <c r="K73" s="114"/>
    </row>
    <row r="74" spans="1:11" s="1" customFormat="1" ht="24" x14ac:dyDescent="0.25">
      <c r="A74" s="84" t="s">
        <v>304</v>
      </c>
      <c r="B74" s="85" t="s">
        <v>833</v>
      </c>
      <c r="C74" s="85" t="s">
        <v>834</v>
      </c>
      <c r="D74" s="86" t="s">
        <v>61</v>
      </c>
      <c r="E74" s="87">
        <v>0.14022499999999999</v>
      </c>
      <c r="F74" s="128">
        <v>5044600</v>
      </c>
      <c r="G74" s="89">
        <f t="shared" si="1"/>
        <v>707379.03499999992</v>
      </c>
      <c r="H74" s="90" t="s">
        <v>319</v>
      </c>
      <c r="I74" s="91" t="s">
        <v>319</v>
      </c>
      <c r="K74" s="114"/>
    </row>
    <row r="75" spans="1:11" s="1" customFormat="1" x14ac:dyDescent="0.25">
      <c r="A75" s="84" t="s">
        <v>305</v>
      </c>
      <c r="B75" s="85" t="s">
        <v>535</v>
      </c>
      <c r="C75" s="85" t="s">
        <v>536</v>
      </c>
      <c r="D75" s="86" t="s">
        <v>61</v>
      </c>
      <c r="E75" s="87">
        <v>2.6509999999999999E-2</v>
      </c>
      <c r="F75" s="128">
        <v>5044600</v>
      </c>
      <c r="G75" s="89">
        <f t="shared" si="1"/>
        <v>133732.34599999999</v>
      </c>
      <c r="H75" s="90" t="s">
        <v>319</v>
      </c>
      <c r="I75" s="91" t="s">
        <v>319</v>
      </c>
      <c r="K75" s="114"/>
    </row>
    <row r="76" spans="1:11" s="1" customFormat="1" ht="24" x14ac:dyDescent="0.25">
      <c r="A76" s="84" t="s">
        <v>306</v>
      </c>
      <c r="B76" s="85" t="s">
        <v>601</v>
      </c>
      <c r="C76" s="85" t="s">
        <v>602</v>
      </c>
      <c r="D76" s="86" t="s">
        <v>61</v>
      </c>
      <c r="E76" s="87">
        <v>7.5239999999999997E-4</v>
      </c>
      <c r="F76" s="127">
        <v>4200000</v>
      </c>
      <c r="G76" s="89">
        <f t="shared" si="1"/>
        <v>3160.08</v>
      </c>
      <c r="H76" s="90" t="s">
        <v>319</v>
      </c>
      <c r="I76" s="91" t="s">
        <v>319</v>
      </c>
      <c r="K76" s="114"/>
    </row>
    <row r="77" spans="1:11" s="1" customFormat="1" x14ac:dyDescent="0.25">
      <c r="A77" s="84" t="s">
        <v>307</v>
      </c>
      <c r="B77" s="85" t="s">
        <v>604</v>
      </c>
      <c r="C77" s="85" t="s">
        <v>605</v>
      </c>
      <c r="D77" s="86" t="s">
        <v>166</v>
      </c>
      <c r="E77" s="87">
        <v>0.12540000000000001</v>
      </c>
      <c r="F77" s="127">
        <v>30000</v>
      </c>
      <c r="G77" s="89">
        <f t="shared" si="1"/>
        <v>3762.0000000000005</v>
      </c>
      <c r="H77" s="90" t="s">
        <v>319</v>
      </c>
      <c r="I77" s="91" t="s">
        <v>319</v>
      </c>
      <c r="K77" s="114"/>
    </row>
    <row r="78" spans="1:11" s="1" customFormat="1" x14ac:dyDescent="0.25">
      <c r="A78" s="84" t="s">
        <v>308</v>
      </c>
      <c r="B78" s="85" t="s">
        <v>418</v>
      </c>
      <c r="C78" s="85" t="s">
        <v>419</v>
      </c>
      <c r="D78" s="86" t="s">
        <v>61</v>
      </c>
      <c r="E78" s="87">
        <v>3.6865000000000002E-2</v>
      </c>
      <c r="F78" s="127">
        <v>14740000</v>
      </c>
      <c r="G78" s="89">
        <f t="shared" si="1"/>
        <v>543390.1</v>
      </c>
      <c r="H78" s="90" t="s">
        <v>319</v>
      </c>
      <c r="I78" s="91" t="s">
        <v>319</v>
      </c>
      <c r="K78" s="114"/>
    </row>
    <row r="79" spans="1:11" s="1" customFormat="1" x14ac:dyDescent="0.25">
      <c r="A79" s="84" t="s">
        <v>309</v>
      </c>
      <c r="B79" s="85" t="s">
        <v>161</v>
      </c>
      <c r="C79" s="85" t="s">
        <v>162</v>
      </c>
      <c r="D79" s="86" t="s">
        <v>61</v>
      </c>
      <c r="E79" s="87">
        <v>6.9869000000000001E-2</v>
      </c>
      <c r="F79" s="127">
        <v>9652145</v>
      </c>
      <c r="G79" s="89">
        <f t="shared" si="1"/>
        <v>674385.71900499996</v>
      </c>
      <c r="H79" s="90" t="s">
        <v>319</v>
      </c>
      <c r="I79" s="91" t="s">
        <v>319</v>
      </c>
      <c r="K79" s="114"/>
    </row>
    <row r="80" spans="1:11" s="1" customFormat="1" x14ac:dyDescent="0.25">
      <c r="A80" s="84" t="s">
        <v>853</v>
      </c>
      <c r="B80" s="85" t="s">
        <v>670</v>
      </c>
      <c r="C80" s="85" t="s">
        <v>671</v>
      </c>
      <c r="D80" s="86" t="s">
        <v>61</v>
      </c>
      <c r="E80" s="87">
        <v>2.862E-2</v>
      </c>
      <c r="F80" s="127">
        <v>14375000</v>
      </c>
      <c r="G80" s="89">
        <f t="shared" si="1"/>
        <v>411412.5</v>
      </c>
      <c r="H80" s="90" t="s">
        <v>319</v>
      </c>
      <c r="I80" s="91" t="s">
        <v>319</v>
      </c>
      <c r="K80" s="114"/>
    </row>
    <row r="81" spans="1:11" s="1" customFormat="1" x14ac:dyDescent="0.25">
      <c r="A81" s="84" t="s">
        <v>860</v>
      </c>
      <c r="B81" s="85" t="s">
        <v>559</v>
      </c>
      <c r="C81" s="85" t="s">
        <v>560</v>
      </c>
      <c r="D81" s="86" t="s">
        <v>61</v>
      </c>
      <c r="E81" s="87">
        <v>1.2991999999999999E-3</v>
      </c>
      <c r="F81" s="127">
        <v>14000000</v>
      </c>
      <c r="G81" s="89">
        <f t="shared" si="1"/>
        <v>18188.8</v>
      </c>
      <c r="H81" s="90" t="s">
        <v>319</v>
      </c>
      <c r="I81" s="91" t="s">
        <v>319</v>
      </c>
      <c r="K81" s="114"/>
    </row>
    <row r="82" spans="1:11" s="1" customFormat="1" x14ac:dyDescent="0.25">
      <c r="A82" s="84" t="s">
        <v>874</v>
      </c>
      <c r="B82" s="85" t="s">
        <v>562</v>
      </c>
      <c r="C82" s="85" t="s">
        <v>563</v>
      </c>
      <c r="D82" s="86" t="s">
        <v>61</v>
      </c>
      <c r="E82" s="87">
        <v>4.4543999999999999E-3</v>
      </c>
      <c r="F82" s="127">
        <v>6500000</v>
      </c>
      <c r="G82" s="89">
        <f t="shared" si="1"/>
        <v>28953.599999999999</v>
      </c>
      <c r="H82" s="90" t="s">
        <v>319</v>
      </c>
      <c r="I82" s="91" t="s">
        <v>319</v>
      </c>
      <c r="K82" s="114"/>
    </row>
    <row r="83" spans="1:11" s="1" customFormat="1" ht="24" x14ac:dyDescent="0.25">
      <c r="A83" s="84" t="s">
        <v>876</v>
      </c>
      <c r="B83" s="85" t="s">
        <v>607</v>
      </c>
      <c r="C83" s="85" t="s">
        <v>608</v>
      </c>
      <c r="D83" s="86" t="s">
        <v>61</v>
      </c>
      <c r="E83" s="87">
        <v>2.09E-5</v>
      </c>
      <c r="F83" s="127">
        <v>21572000</v>
      </c>
      <c r="G83" s="89">
        <f t="shared" si="1"/>
        <v>450.85480000000001</v>
      </c>
      <c r="H83" s="90" t="s">
        <v>319</v>
      </c>
      <c r="I83" s="91" t="s">
        <v>319</v>
      </c>
      <c r="K83" s="114"/>
    </row>
    <row r="84" spans="1:11" s="1" customFormat="1" x14ac:dyDescent="0.25">
      <c r="A84" s="84" t="s">
        <v>877</v>
      </c>
      <c r="B84" s="85" t="s">
        <v>836</v>
      </c>
      <c r="C84" s="85" t="s">
        <v>837</v>
      </c>
      <c r="D84" s="86" t="s">
        <v>61</v>
      </c>
      <c r="E84" s="87">
        <v>5.6880000000000003E-3</v>
      </c>
      <c r="F84" s="129">
        <v>6474019.6399999997</v>
      </c>
      <c r="G84" s="89">
        <f t="shared" si="1"/>
        <v>36824.223712320003</v>
      </c>
      <c r="H84" s="90" t="s">
        <v>319</v>
      </c>
      <c r="I84" s="91" t="s">
        <v>319</v>
      </c>
      <c r="K84" s="114"/>
    </row>
    <row r="85" spans="1:11" s="1" customFormat="1" x14ac:dyDescent="0.25">
      <c r="A85" s="84" t="s">
        <v>878</v>
      </c>
      <c r="B85" s="85" t="s">
        <v>673</v>
      </c>
      <c r="C85" s="85" t="s">
        <v>674</v>
      </c>
      <c r="D85" s="86" t="s">
        <v>61</v>
      </c>
      <c r="E85" s="87">
        <v>5.04E-2</v>
      </c>
      <c r="F85" s="127">
        <v>32411000</v>
      </c>
      <c r="G85" s="89">
        <f t="shared" si="1"/>
        <v>1633514.4</v>
      </c>
      <c r="H85" s="90" t="s">
        <v>319</v>
      </c>
      <c r="I85" s="91" t="s">
        <v>319</v>
      </c>
      <c r="K85" s="114"/>
    </row>
    <row r="86" spans="1:11" s="1" customFormat="1" x14ac:dyDescent="0.25">
      <c r="A86" s="84" t="s">
        <v>879</v>
      </c>
      <c r="B86" s="85" t="s">
        <v>610</v>
      </c>
      <c r="C86" s="85" t="s">
        <v>611</v>
      </c>
      <c r="D86" s="86" t="s">
        <v>166</v>
      </c>
      <c r="E86" s="87">
        <v>0.16719999999999999</v>
      </c>
      <c r="F86" s="127">
        <v>1240</v>
      </c>
      <c r="G86" s="89">
        <f t="shared" si="1"/>
        <v>207.32799999999997</v>
      </c>
      <c r="H86" s="90" t="s">
        <v>319</v>
      </c>
      <c r="I86" s="91" t="s">
        <v>319</v>
      </c>
      <c r="K86" s="114"/>
    </row>
    <row r="87" spans="1:11" s="1" customFormat="1" x14ac:dyDescent="0.25">
      <c r="A87" s="84" t="s">
        <v>880</v>
      </c>
      <c r="B87" s="85" t="s">
        <v>684</v>
      </c>
      <c r="C87" s="85" t="s">
        <v>685</v>
      </c>
      <c r="D87" s="86" t="s">
        <v>61</v>
      </c>
      <c r="E87" s="87">
        <v>8.5500000000000007E-2</v>
      </c>
      <c r="F87" s="127">
        <v>28000000</v>
      </c>
      <c r="G87" s="89">
        <f t="shared" si="1"/>
        <v>2394000</v>
      </c>
      <c r="H87" s="90" t="s">
        <v>319</v>
      </c>
      <c r="I87" s="91" t="s">
        <v>319</v>
      </c>
      <c r="K87" s="114"/>
    </row>
    <row r="88" spans="1:11" s="1" customFormat="1" x14ac:dyDescent="0.25">
      <c r="A88" s="84" t="s">
        <v>881</v>
      </c>
      <c r="B88" s="85" t="s">
        <v>399</v>
      </c>
      <c r="C88" s="85" t="s">
        <v>400</v>
      </c>
      <c r="D88" s="86" t="s">
        <v>61</v>
      </c>
      <c r="E88" s="87">
        <v>2.3602700000000001E-2</v>
      </c>
      <c r="F88" s="127">
        <v>9108927</v>
      </c>
      <c r="G88" s="89">
        <f t="shared" si="1"/>
        <v>214995.27130290002</v>
      </c>
      <c r="H88" s="90" t="s">
        <v>319</v>
      </c>
      <c r="I88" s="91" t="s">
        <v>319</v>
      </c>
      <c r="K88" s="114"/>
    </row>
    <row r="89" spans="1:11" s="1" customFormat="1" ht="24" x14ac:dyDescent="0.25">
      <c r="A89" s="84" t="s">
        <v>882</v>
      </c>
      <c r="B89" s="85" t="s">
        <v>200</v>
      </c>
      <c r="C89" s="85" t="s">
        <v>201</v>
      </c>
      <c r="D89" s="86" t="s">
        <v>61</v>
      </c>
      <c r="E89" s="87">
        <v>2.0199999999999999E-2</v>
      </c>
      <c r="F89" s="127">
        <v>8383932</v>
      </c>
      <c r="G89" s="89">
        <f t="shared" si="1"/>
        <v>169355.4264</v>
      </c>
      <c r="H89" s="90" t="s">
        <v>319</v>
      </c>
      <c r="I89" s="91" t="s">
        <v>319</v>
      </c>
      <c r="K89" s="114"/>
    </row>
    <row r="90" spans="1:11" s="1" customFormat="1" x14ac:dyDescent="0.25">
      <c r="A90" s="84" t="s">
        <v>883</v>
      </c>
      <c r="B90" s="85" t="s">
        <v>459</v>
      </c>
      <c r="C90" s="85" t="s">
        <v>460</v>
      </c>
      <c r="D90" s="86" t="s">
        <v>61</v>
      </c>
      <c r="E90" s="87">
        <v>1.02126E-2</v>
      </c>
      <c r="F90" s="127">
        <v>9087429</v>
      </c>
      <c r="G90" s="89">
        <f t="shared" si="1"/>
        <v>92806.277405400004</v>
      </c>
      <c r="H90" s="90" t="s">
        <v>319</v>
      </c>
      <c r="I90" s="91" t="s">
        <v>319</v>
      </c>
      <c r="K90" s="114"/>
    </row>
    <row r="91" spans="1:11" s="1" customFormat="1" ht="48" x14ac:dyDescent="0.25">
      <c r="A91" s="84" t="s">
        <v>884</v>
      </c>
      <c r="B91" s="85" t="s">
        <v>613</v>
      </c>
      <c r="C91" s="85" t="s">
        <v>614</v>
      </c>
      <c r="D91" s="86" t="s">
        <v>61</v>
      </c>
      <c r="E91" s="87">
        <v>2.7169999999999998E-3</v>
      </c>
      <c r="F91" s="129">
        <v>11785714.289999999</v>
      </c>
      <c r="G91" s="89">
        <f t="shared" si="1"/>
        <v>32021.785725929996</v>
      </c>
      <c r="H91" s="90" t="s">
        <v>319</v>
      </c>
      <c r="I91" s="91" t="s">
        <v>319</v>
      </c>
      <c r="K91" s="114"/>
    </row>
    <row r="92" spans="1:11" s="1" customFormat="1" x14ac:dyDescent="0.25">
      <c r="A92" s="84" t="s">
        <v>885</v>
      </c>
      <c r="B92" s="85" t="s">
        <v>653</v>
      </c>
      <c r="C92" s="85" t="s">
        <v>654</v>
      </c>
      <c r="D92" s="86" t="s">
        <v>61</v>
      </c>
      <c r="E92" s="87">
        <v>2.8799999999999999E-2</v>
      </c>
      <c r="F92" s="127">
        <v>43750000</v>
      </c>
      <c r="G92" s="89">
        <f t="shared" si="1"/>
        <v>1260000</v>
      </c>
      <c r="H92" s="90" t="s">
        <v>319</v>
      </c>
      <c r="I92" s="91" t="s">
        <v>319</v>
      </c>
      <c r="K92" s="114"/>
    </row>
    <row r="93" spans="1:11" s="1" customFormat="1" x14ac:dyDescent="0.25">
      <c r="A93" s="84" t="s">
        <v>886</v>
      </c>
      <c r="B93" s="85" t="s">
        <v>616</v>
      </c>
      <c r="C93" s="85" t="s">
        <v>617</v>
      </c>
      <c r="D93" s="86" t="s">
        <v>76</v>
      </c>
      <c r="E93" s="87">
        <v>1.2748999999999999</v>
      </c>
      <c r="F93" s="127">
        <v>4210</v>
      </c>
      <c r="G93" s="89">
        <f t="shared" si="1"/>
        <v>5367.3289999999997</v>
      </c>
      <c r="H93" s="90" t="s">
        <v>319</v>
      </c>
      <c r="I93" s="91" t="s">
        <v>319</v>
      </c>
      <c r="K93" s="114"/>
    </row>
    <row r="94" spans="1:11" s="1" customFormat="1" ht="24" x14ac:dyDescent="0.25">
      <c r="A94" s="84" t="s">
        <v>887</v>
      </c>
      <c r="B94" s="85" t="s">
        <v>619</v>
      </c>
      <c r="C94" s="85" t="s">
        <v>620</v>
      </c>
      <c r="D94" s="86" t="s">
        <v>61</v>
      </c>
      <c r="E94" s="87">
        <v>2.09E-5</v>
      </c>
      <c r="F94" s="127">
        <v>9000000</v>
      </c>
      <c r="G94" s="89">
        <f t="shared" si="1"/>
        <v>188.1</v>
      </c>
      <c r="H94" s="90" t="s">
        <v>319</v>
      </c>
      <c r="I94" s="91" t="s">
        <v>319</v>
      </c>
      <c r="K94" s="114"/>
    </row>
    <row r="95" spans="1:11" s="1" customFormat="1" x14ac:dyDescent="0.25">
      <c r="A95" s="84" t="s">
        <v>888</v>
      </c>
      <c r="B95" s="85" t="s">
        <v>220</v>
      </c>
      <c r="C95" s="85" t="s">
        <v>221</v>
      </c>
      <c r="D95" s="86" t="s">
        <v>61</v>
      </c>
      <c r="E95" s="87">
        <v>2.4569000000000001E-3</v>
      </c>
      <c r="F95" s="127">
        <v>11250000</v>
      </c>
      <c r="G95" s="89">
        <f t="shared" si="1"/>
        <v>27640.125</v>
      </c>
      <c r="H95" s="90" t="s">
        <v>319</v>
      </c>
      <c r="I95" s="91" t="s">
        <v>319</v>
      </c>
      <c r="K95" s="114"/>
    </row>
    <row r="96" spans="1:11" s="1" customFormat="1" x14ac:dyDescent="0.25">
      <c r="A96" s="84" t="s">
        <v>889</v>
      </c>
      <c r="B96" s="85" t="s">
        <v>622</v>
      </c>
      <c r="C96" s="85" t="s">
        <v>623</v>
      </c>
      <c r="D96" s="86" t="s">
        <v>61</v>
      </c>
      <c r="E96" s="87">
        <v>1.1913E-2</v>
      </c>
      <c r="F96" s="127">
        <v>11250000</v>
      </c>
      <c r="G96" s="89">
        <f t="shared" si="1"/>
        <v>134021.25</v>
      </c>
      <c r="H96" s="90" t="s">
        <v>319</v>
      </c>
      <c r="I96" s="91" t="s">
        <v>319</v>
      </c>
      <c r="K96" s="114"/>
    </row>
    <row r="97" spans="1:11" s="1" customFormat="1" x14ac:dyDescent="0.25">
      <c r="A97" s="84" t="s">
        <v>890</v>
      </c>
      <c r="B97" s="85" t="s">
        <v>517</v>
      </c>
      <c r="C97" s="85" t="s">
        <v>518</v>
      </c>
      <c r="D97" s="86" t="s">
        <v>210</v>
      </c>
      <c r="E97" s="87">
        <v>9.968</v>
      </c>
      <c r="F97" s="127">
        <v>10500</v>
      </c>
      <c r="G97" s="89">
        <f t="shared" si="1"/>
        <v>104664</v>
      </c>
      <c r="H97" s="90" t="s">
        <v>319</v>
      </c>
      <c r="I97" s="91" t="s">
        <v>319</v>
      </c>
      <c r="K97" s="114"/>
    </row>
    <row r="98" spans="1:11" s="1" customFormat="1" ht="24" x14ac:dyDescent="0.25">
      <c r="A98" s="84" t="s">
        <v>891</v>
      </c>
      <c r="B98" s="85" t="s">
        <v>565</v>
      </c>
      <c r="C98" s="85" t="s">
        <v>566</v>
      </c>
      <c r="D98" s="86" t="s">
        <v>61</v>
      </c>
      <c r="E98" s="87">
        <v>8.7999999999999998E-5</v>
      </c>
      <c r="F98" s="127">
        <v>90000000</v>
      </c>
      <c r="G98" s="89">
        <f t="shared" si="1"/>
        <v>7920</v>
      </c>
      <c r="H98" s="90" t="s">
        <v>319</v>
      </c>
      <c r="I98" s="91" t="s">
        <v>319</v>
      </c>
      <c r="K98" s="114"/>
    </row>
    <row r="99" spans="1:11" s="1" customFormat="1" ht="24" x14ac:dyDescent="0.25">
      <c r="A99" s="84" t="s">
        <v>892</v>
      </c>
      <c r="B99" s="85" t="s">
        <v>424</v>
      </c>
      <c r="C99" s="85" t="s">
        <v>425</v>
      </c>
      <c r="D99" s="86" t="s">
        <v>76</v>
      </c>
      <c r="E99" s="87">
        <v>5.0500000000000003E-2</v>
      </c>
      <c r="F99" s="118">
        <v>3660714</v>
      </c>
      <c r="G99" s="89">
        <f t="shared" si="1"/>
        <v>184866.057</v>
      </c>
      <c r="H99" s="90" t="s">
        <v>319</v>
      </c>
      <c r="I99" s="91" t="s">
        <v>319</v>
      </c>
      <c r="K99" s="114"/>
    </row>
    <row r="100" spans="1:11" s="1" customFormat="1" ht="36" x14ac:dyDescent="0.25">
      <c r="A100" s="84" t="s">
        <v>893</v>
      </c>
      <c r="B100" s="85" t="s">
        <v>520</v>
      </c>
      <c r="C100" s="85" t="s">
        <v>521</v>
      </c>
      <c r="D100" s="86" t="s">
        <v>76</v>
      </c>
      <c r="E100" s="87">
        <v>0.1232</v>
      </c>
      <c r="F100" s="118">
        <v>3660714</v>
      </c>
      <c r="G100" s="89">
        <f t="shared" si="1"/>
        <v>450999.96480000002</v>
      </c>
      <c r="H100" s="90" t="s">
        <v>319</v>
      </c>
      <c r="I100" s="91" t="s">
        <v>319</v>
      </c>
      <c r="K100" s="114"/>
    </row>
    <row r="101" spans="1:11" s="1" customFormat="1" ht="36" x14ac:dyDescent="0.25">
      <c r="A101" s="84" t="s">
        <v>894</v>
      </c>
      <c r="B101" s="85" t="s">
        <v>372</v>
      </c>
      <c r="C101" s="85" t="s">
        <v>373</v>
      </c>
      <c r="D101" s="86" t="s">
        <v>76</v>
      </c>
      <c r="E101" s="87">
        <v>4.4200000000000003E-2</v>
      </c>
      <c r="F101" s="118">
        <v>3660714</v>
      </c>
      <c r="G101" s="89">
        <f t="shared" si="1"/>
        <v>161803.5588</v>
      </c>
      <c r="H101" s="90" t="s">
        <v>319</v>
      </c>
      <c r="I101" s="91" t="s">
        <v>319</v>
      </c>
      <c r="K101" s="114"/>
    </row>
    <row r="102" spans="1:11" s="1" customFormat="1" ht="36" x14ac:dyDescent="0.25">
      <c r="A102" s="84" t="s">
        <v>895</v>
      </c>
      <c r="B102" s="85" t="s">
        <v>427</v>
      </c>
      <c r="C102" s="85" t="s">
        <v>428</v>
      </c>
      <c r="D102" s="86" t="s">
        <v>76</v>
      </c>
      <c r="E102" s="87">
        <v>8.0799999999999997E-2</v>
      </c>
      <c r="F102" s="118">
        <v>3660714</v>
      </c>
      <c r="G102" s="89">
        <f t="shared" si="1"/>
        <v>295785.6912</v>
      </c>
      <c r="H102" s="90" t="s">
        <v>319</v>
      </c>
      <c r="I102" s="91" t="s">
        <v>319</v>
      </c>
      <c r="K102" s="114"/>
    </row>
    <row r="103" spans="1:11" s="1" customFormat="1" ht="36" x14ac:dyDescent="0.25">
      <c r="A103" s="84" t="s">
        <v>896</v>
      </c>
      <c r="B103" s="85" t="s">
        <v>402</v>
      </c>
      <c r="C103" s="85" t="s">
        <v>403</v>
      </c>
      <c r="D103" s="86" t="s">
        <v>76</v>
      </c>
      <c r="E103" s="87">
        <v>1.359</v>
      </c>
      <c r="F103" s="118">
        <v>3660714</v>
      </c>
      <c r="G103" s="89">
        <f t="shared" si="1"/>
        <v>4974910.3260000004</v>
      </c>
      <c r="H103" s="90" t="s">
        <v>319</v>
      </c>
      <c r="I103" s="91" t="s">
        <v>319</v>
      </c>
      <c r="K103" s="114"/>
    </row>
    <row r="104" spans="1:11" s="1" customFormat="1" x14ac:dyDescent="0.25">
      <c r="A104" s="84" t="s">
        <v>897</v>
      </c>
      <c r="B104" s="85" t="s">
        <v>541</v>
      </c>
      <c r="C104" s="85" t="s">
        <v>542</v>
      </c>
      <c r="D104" s="86" t="s">
        <v>166</v>
      </c>
      <c r="E104" s="87">
        <v>9.1579999999999995</v>
      </c>
      <c r="F104" s="127">
        <v>2500</v>
      </c>
      <c r="G104" s="89">
        <f t="shared" si="1"/>
        <v>22895</v>
      </c>
      <c r="H104" s="90" t="s">
        <v>319</v>
      </c>
      <c r="I104" s="91" t="s">
        <v>319</v>
      </c>
      <c r="K104" s="114"/>
    </row>
    <row r="105" spans="1:11" s="1" customFormat="1" x14ac:dyDescent="0.25">
      <c r="A105" s="84" t="s">
        <v>898</v>
      </c>
      <c r="B105" s="85" t="s">
        <v>625</v>
      </c>
      <c r="C105" s="85" t="s">
        <v>626</v>
      </c>
      <c r="D105" s="86" t="s">
        <v>547</v>
      </c>
      <c r="E105" s="87">
        <v>7.7329999999999997</v>
      </c>
      <c r="F105" s="127">
        <v>338877</v>
      </c>
      <c r="G105" s="89">
        <f t="shared" si="1"/>
        <v>2620535.841</v>
      </c>
      <c r="H105" s="90" t="s">
        <v>319</v>
      </c>
      <c r="I105" s="91" t="s">
        <v>319</v>
      </c>
      <c r="K105" s="114"/>
    </row>
    <row r="106" spans="1:11" s="1" customFormat="1" x14ac:dyDescent="0.25">
      <c r="A106" s="84" t="s">
        <v>899</v>
      </c>
      <c r="B106" s="85" t="s">
        <v>568</v>
      </c>
      <c r="C106" s="85" t="s">
        <v>569</v>
      </c>
      <c r="D106" s="86" t="s">
        <v>61</v>
      </c>
      <c r="E106" s="87">
        <v>5.7600000000000001E-4</v>
      </c>
      <c r="F106" s="127">
        <v>14330400</v>
      </c>
      <c r="G106" s="89">
        <f t="shared" si="1"/>
        <v>8254.3104000000003</v>
      </c>
      <c r="H106" s="90" t="s">
        <v>319</v>
      </c>
      <c r="I106" s="91" t="s">
        <v>319</v>
      </c>
      <c r="K106" s="114"/>
    </row>
    <row r="107" spans="1:11" s="1" customFormat="1" x14ac:dyDescent="0.25">
      <c r="A107" s="84" t="s">
        <v>900</v>
      </c>
      <c r="B107" s="85" t="s">
        <v>628</v>
      </c>
      <c r="C107" s="85" t="s">
        <v>629</v>
      </c>
      <c r="D107" s="86" t="s">
        <v>166</v>
      </c>
      <c r="E107" s="87">
        <v>6.2700000000000006E-2</v>
      </c>
      <c r="F107" s="127">
        <v>45000</v>
      </c>
      <c r="G107" s="89">
        <f t="shared" si="1"/>
        <v>2821.5000000000005</v>
      </c>
      <c r="H107" s="90" t="s">
        <v>319</v>
      </c>
      <c r="I107" s="91" t="s">
        <v>319</v>
      </c>
      <c r="K107" s="114"/>
    </row>
    <row r="108" spans="1:11" s="1" customFormat="1" x14ac:dyDescent="0.25">
      <c r="A108" s="84" t="s">
        <v>901</v>
      </c>
      <c r="B108" s="85" t="s">
        <v>544</v>
      </c>
      <c r="C108" s="85" t="s">
        <v>545</v>
      </c>
      <c r="D108" s="86" t="s">
        <v>61</v>
      </c>
      <c r="E108" s="87">
        <v>3.6150000000000002E-3</v>
      </c>
      <c r="F108" s="127">
        <v>1474000</v>
      </c>
      <c r="G108" s="89">
        <f t="shared" si="1"/>
        <v>5328.51</v>
      </c>
      <c r="H108" s="90" t="s">
        <v>319</v>
      </c>
      <c r="I108" s="91" t="s">
        <v>319</v>
      </c>
      <c r="K108" s="114"/>
    </row>
    <row r="109" spans="1:11" s="1" customFormat="1" x14ac:dyDescent="0.25">
      <c r="A109" s="84" t="s">
        <v>902</v>
      </c>
      <c r="B109" s="85" t="s">
        <v>206</v>
      </c>
      <c r="C109" s="85" t="s">
        <v>207</v>
      </c>
      <c r="D109" s="86" t="s">
        <v>76</v>
      </c>
      <c r="E109" s="87">
        <v>6.2830000000000004</v>
      </c>
      <c r="F109" s="127">
        <v>31250</v>
      </c>
      <c r="G109" s="89">
        <f t="shared" si="1"/>
        <v>196343.75</v>
      </c>
      <c r="H109" s="90" t="s">
        <v>319</v>
      </c>
      <c r="I109" s="91" t="s">
        <v>319</v>
      </c>
      <c r="K109" s="114"/>
    </row>
    <row r="110" spans="1:11" s="1" customFormat="1" x14ac:dyDescent="0.25">
      <c r="A110" s="84" t="s">
        <v>903</v>
      </c>
      <c r="B110" s="85" t="s">
        <v>656</v>
      </c>
      <c r="C110" s="85" t="s">
        <v>657</v>
      </c>
      <c r="D110" s="86" t="s">
        <v>166</v>
      </c>
      <c r="E110" s="87">
        <v>4.6185</v>
      </c>
      <c r="F110" s="127">
        <v>2500</v>
      </c>
      <c r="G110" s="89">
        <f t="shared" si="1"/>
        <v>11546.25</v>
      </c>
      <c r="H110" s="90" t="s">
        <v>319</v>
      </c>
      <c r="I110" s="91" t="s">
        <v>319</v>
      </c>
      <c r="K110" s="114"/>
    </row>
    <row r="111" spans="1:11" s="1" customFormat="1" x14ac:dyDescent="0.25">
      <c r="A111" s="84" t="s">
        <v>904</v>
      </c>
      <c r="B111" s="85" t="s">
        <v>847</v>
      </c>
      <c r="C111" s="85" t="s">
        <v>848</v>
      </c>
      <c r="D111" s="86" t="s">
        <v>61</v>
      </c>
      <c r="E111" s="87">
        <v>0.17048199999999999</v>
      </c>
      <c r="F111" s="127">
        <v>150000</v>
      </c>
      <c r="G111" s="89">
        <f t="shared" si="1"/>
        <v>25572.3</v>
      </c>
      <c r="H111" s="90" t="s">
        <v>319</v>
      </c>
      <c r="I111" s="91" t="s">
        <v>319</v>
      </c>
      <c r="K111" s="114"/>
    </row>
    <row r="112" spans="1:11" s="1" customFormat="1" x14ac:dyDescent="0.25">
      <c r="A112" s="84" t="s">
        <v>905</v>
      </c>
      <c r="B112" s="85" t="s">
        <v>375</v>
      </c>
      <c r="C112" s="85" t="s">
        <v>376</v>
      </c>
      <c r="D112" s="86" t="s">
        <v>377</v>
      </c>
      <c r="E112" s="87">
        <v>8.7159999999999993</v>
      </c>
      <c r="F112" s="127">
        <v>105000</v>
      </c>
      <c r="G112" s="89">
        <f t="shared" si="1"/>
        <v>915179.99999999988</v>
      </c>
      <c r="H112" s="90" t="s">
        <v>319</v>
      </c>
      <c r="I112" s="91" t="s">
        <v>319</v>
      </c>
      <c r="K112" s="114"/>
    </row>
    <row r="113" spans="1:11" s="1" customFormat="1" x14ac:dyDescent="0.25">
      <c r="A113" s="84" t="s">
        <v>906</v>
      </c>
      <c r="B113" s="85" t="s">
        <v>817</v>
      </c>
      <c r="C113" s="85" t="s">
        <v>818</v>
      </c>
      <c r="D113" s="86" t="s">
        <v>76</v>
      </c>
      <c r="E113" s="87">
        <v>1.2087000000000001</v>
      </c>
      <c r="F113" s="127">
        <v>416964</v>
      </c>
      <c r="G113" s="89">
        <f t="shared" si="1"/>
        <v>503984.38680000004</v>
      </c>
      <c r="H113" s="90" t="s">
        <v>319</v>
      </c>
      <c r="I113" s="91" t="s">
        <v>319</v>
      </c>
      <c r="K113" s="114"/>
    </row>
    <row r="114" spans="1:11" s="1" customFormat="1" x14ac:dyDescent="0.25">
      <c r="A114" s="84" t="s">
        <v>907</v>
      </c>
      <c r="B114" s="85" t="s">
        <v>631</v>
      </c>
      <c r="C114" s="85" t="s">
        <v>632</v>
      </c>
      <c r="D114" s="86" t="s">
        <v>166</v>
      </c>
      <c r="E114" s="87">
        <v>0.18392</v>
      </c>
      <c r="F114" s="127">
        <v>6165</v>
      </c>
      <c r="G114" s="89">
        <f t="shared" si="1"/>
        <v>1133.8668</v>
      </c>
      <c r="H114" s="90" t="s">
        <v>319</v>
      </c>
      <c r="I114" s="91" t="s">
        <v>319</v>
      </c>
      <c r="K114" s="114"/>
    </row>
    <row r="115" spans="1:11" s="1" customFormat="1" x14ac:dyDescent="0.25">
      <c r="A115" s="84" t="s">
        <v>908</v>
      </c>
      <c r="B115" s="85" t="s">
        <v>208</v>
      </c>
      <c r="C115" s="85" t="s">
        <v>209</v>
      </c>
      <c r="D115" s="86" t="s">
        <v>210</v>
      </c>
      <c r="E115" s="87">
        <v>72.753100000000003</v>
      </c>
      <c r="F115" s="118">
        <v>45000</v>
      </c>
      <c r="G115" s="89">
        <f t="shared" si="1"/>
        <v>3273889.5</v>
      </c>
      <c r="H115" s="90" t="s">
        <v>319</v>
      </c>
      <c r="I115" s="91" t="s">
        <v>319</v>
      </c>
      <c r="K115" s="114"/>
    </row>
    <row r="116" spans="1:11" s="1" customFormat="1" x14ac:dyDescent="0.25">
      <c r="A116" s="84" t="s">
        <v>909</v>
      </c>
      <c r="B116" s="85" t="s">
        <v>236</v>
      </c>
      <c r="C116" s="85" t="s">
        <v>237</v>
      </c>
      <c r="D116" s="86" t="s">
        <v>210</v>
      </c>
      <c r="E116" s="87">
        <v>0.3276</v>
      </c>
      <c r="F116" s="118">
        <v>45000</v>
      </c>
      <c r="G116" s="89">
        <f t="shared" si="1"/>
        <v>14742</v>
      </c>
      <c r="H116" s="90" t="s">
        <v>319</v>
      </c>
      <c r="I116" s="91" t="s">
        <v>319</v>
      </c>
      <c r="K116" s="114"/>
    </row>
    <row r="117" spans="1:11" s="1" customFormat="1" x14ac:dyDescent="0.25">
      <c r="A117" s="84" t="s">
        <v>910</v>
      </c>
      <c r="B117" s="85" t="s">
        <v>850</v>
      </c>
      <c r="C117" s="85" t="s">
        <v>851</v>
      </c>
      <c r="D117" s="86" t="s">
        <v>61</v>
      </c>
      <c r="E117" s="87">
        <v>3.2785000000000002E-2</v>
      </c>
      <c r="F117" s="127">
        <v>6264000</v>
      </c>
      <c r="G117" s="89">
        <f t="shared" si="1"/>
        <v>205365.24000000002</v>
      </c>
      <c r="H117" s="90" t="s">
        <v>319</v>
      </c>
      <c r="I117" s="91" t="s">
        <v>319</v>
      </c>
      <c r="K117" s="114"/>
    </row>
    <row r="118" spans="1:11" s="1" customFormat="1" x14ac:dyDescent="0.25">
      <c r="A118" s="84" t="s">
        <v>911</v>
      </c>
      <c r="B118" s="85" t="s">
        <v>571</v>
      </c>
      <c r="C118" s="85" t="s">
        <v>572</v>
      </c>
      <c r="D118" s="86" t="s">
        <v>547</v>
      </c>
      <c r="E118" s="89">
        <v>16</v>
      </c>
      <c r="F118" s="127">
        <v>84821</v>
      </c>
      <c r="G118" s="89">
        <f t="shared" si="1"/>
        <v>1357136</v>
      </c>
      <c r="H118" s="90" t="s">
        <v>319</v>
      </c>
      <c r="I118" s="91" t="s">
        <v>319</v>
      </c>
      <c r="K118" s="114"/>
    </row>
    <row r="119" spans="1:11" s="1" customFormat="1" x14ac:dyDescent="0.25">
      <c r="A119" s="84" t="s">
        <v>912</v>
      </c>
      <c r="B119" s="85"/>
      <c r="C119" s="85" t="s">
        <v>852</v>
      </c>
      <c r="D119" s="86" t="s">
        <v>210</v>
      </c>
      <c r="E119" s="87">
        <v>39.5</v>
      </c>
      <c r="F119" s="127">
        <v>12500</v>
      </c>
      <c r="G119" s="89">
        <f t="shared" si="1"/>
        <v>493750</v>
      </c>
      <c r="H119" s="90" t="s">
        <v>319</v>
      </c>
      <c r="I119" s="91" t="s">
        <v>319</v>
      </c>
      <c r="K119" s="114"/>
    </row>
    <row r="120" spans="1:11" s="1" customFormat="1" x14ac:dyDescent="0.25">
      <c r="A120" s="84" t="s">
        <v>913</v>
      </c>
      <c r="B120" s="85" t="s">
        <v>462</v>
      </c>
      <c r="C120" s="85" t="s">
        <v>463</v>
      </c>
      <c r="D120" s="86" t="s">
        <v>182</v>
      </c>
      <c r="E120" s="87">
        <v>1.5828</v>
      </c>
      <c r="F120" s="127">
        <v>8214304</v>
      </c>
      <c r="G120" s="89">
        <f t="shared" si="1"/>
        <v>13001600.371199999</v>
      </c>
      <c r="H120" s="90" t="s">
        <v>319</v>
      </c>
      <c r="I120" s="91" t="s">
        <v>319</v>
      </c>
      <c r="K120" s="114"/>
    </row>
    <row r="121" spans="1:11" s="1" customFormat="1" x14ac:dyDescent="0.25">
      <c r="A121" s="84" t="s">
        <v>914</v>
      </c>
      <c r="B121" s="85" t="s">
        <v>462</v>
      </c>
      <c r="C121" s="85" t="s">
        <v>548</v>
      </c>
      <c r="D121" s="86" t="s">
        <v>547</v>
      </c>
      <c r="E121" s="89">
        <v>4</v>
      </c>
      <c r="F121" s="127">
        <v>1913043</v>
      </c>
      <c r="G121" s="89">
        <f t="shared" si="1"/>
        <v>7652172</v>
      </c>
      <c r="H121" s="90" t="s">
        <v>319</v>
      </c>
      <c r="I121" s="91" t="s">
        <v>319</v>
      </c>
      <c r="K121" s="114"/>
    </row>
    <row r="122" spans="1:11" s="1" customFormat="1" x14ac:dyDescent="0.25">
      <c r="A122" s="84" t="s">
        <v>915</v>
      </c>
      <c r="B122" s="85" t="s">
        <v>462</v>
      </c>
      <c r="C122" s="85" t="s">
        <v>546</v>
      </c>
      <c r="D122" s="86" t="s">
        <v>547</v>
      </c>
      <c r="E122" s="89">
        <v>14</v>
      </c>
      <c r="F122" s="127">
        <v>1373913</v>
      </c>
      <c r="G122" s="89">
        <f t="shared" si="1"/>
        <v>19234782</v>
      </c>
      <c r="H122" s="90" t="s">
        <v>319</v>
      </c>
      <c r="I122" s="91" t="s">
        <v>319</v>
      </c>
      <c r="K122" s="114"/>
    </row>
    <row r="123" spans="1:11" s="1" customFormat="1" x14ac:dyDescent="0.25">
      <c r="A123" s="84" t="s">
        <v>916</v>
      </c>
      <c r="B123" s="85" t="s">
        <v>462</v>
      </c>
      <c r="C123" s="85" t="s">
        <v>464</v>
      </c>
      <c r="D123" s="86" t="s">
        <v>182</v>
      </c>
      <c r="E123" s="87">
        <v>7.9000000000000008E-3</v>
      </c>
      <c r="F123" s="127">
        <v>9087429</v>
      </c>
      <c r="G123" s="89">
        <f t="shared" si="1"/>
        <v>71790.689100000003</v>
      </c>
      <c r="H123" s="90" t="s">
        <v>319</v>
      </c>
      <c r="I123" s="91" t="s">
        <v>319</v>
      </c>
      <c r="K123" s="114"/>
    </row>
    <row r="124" spans="1:11" s="1" customFormat="1" x14ac:dyDescent="0.25">
      <c r="A124" s="92"/>
      <c r="B124" s="174" t="s">
        <v>330</v>
      </c>
      <c r="C124" s="175"/>
      <c r="D124" s="93" t="s">
        <v>321</v>
      </c>
      <c r="E124" s="94"/>
      <c r="F124" s="94"/>
      <c r="G124" s="95">
        <f>SUM(G67:G123)</f>
        <v>115147166.82885154</v>
      </c>
      <c r="H124" s="94"/>
      <c r="I124" s="94" t="s">
        <v>319</v>
      </c>
      <c r="K124" s="114">
        <f>G124</f>
        <v>115147166.82885154</v>
      </c>
    </row>
    <row r="125" spans="1:11" s="1" customFormat="1" x14ac:dyDescent="0.25">
      <c r="A125" s="155"/>
      <c r="B125" s="156"/>
      <c r="C125" s="156"/>
      <c r="D125" s="156"/>
      <c r="E125" s="156"/>
      <c r="F125" s="156"/>
      <c r="G125" s="156"/>
      <c r="H125" s="156"/>
      <c r="I125" s="157"/>
      <c r="K125" s="114">
        <f>K124-G67-G68-G69-G70-G71-G72-G73-G109-G113</f>
        <v>63625201.527651548</v>
      </c>
    </row>
    <row r="126" spans="1:11" s="1" customFormat="1" x14ac:dyDescent="0.25">
      <c r="A126" s="77"/>
      <c r="B126" s="78"/>
      <c r="C126" s="79" t="s">
        <v>917</v>
      </c>
      <c r="D126" s="80"/>
      <c r="E126" s="81"/>
      <c r="F126" s="81"/>
      <c r="G126" s="82"/>
      <c r="H126" s="81"/>
      <c r="I126" s="83"/>
      <c r="K126" s="114">
        <f>K125*2%</f>
        <v>1272504.030553031</v>
      </c>
    </row>
    <row r="127" spans="1:11" s="1" customFormat="1" x14ac:dyDescent="0.25">
      <c r="A127" s="84" t="s">
        <v>918</v>
      </c>
      <c r="B127" s="85"/>
      <c r="C127" s="85" t="s">
        <v>802</v>
      </c>
      <c r="D127" s="86" t="s">
        <v>547</v>
      </c>
      <c r="E127" s="89">
        <v>1</v>
      </c>
      <c r="F127" s="96">
        <v>12555427</v>
      </c>
      <c r="G127" s="89">
        <f>E127*F127</f>
        <v>12555427</v>
      </c>
      <c r="H127" s="90" t="s">
        <v>319</v>
      </c>
      <c r="I127" s="91" t="s">
        <v>319</v>
      </c>
      <c r="K127" s="114"/>
    </row>
    <row r="128" spans="1:11" s="1" customFormat="1" x14ac:dyDescent="0.25">
      <c r="A128" s="84" t="s">
        <v>919</v>
      </c>
      <c r="B128" s="85"/>
      <c r="C128" s="85" t="s">
        <v>633</v>
      </c>
      <c r="D128" s="86" t="s">
        <v>547</v>
      </c>
      <c r="E128" s="89">
        <v>1</v>
      </c>
      <c r="F128" s="119">
        <v>10805740</v>
      </c>
      <c r="G128" s="89">
        <f>E128*F128</f>
        <v>10805740</v>
      </c>
      <c r="H128" s="90" t="s">
        <v>319</v>
      </c>
      <c r="I128" s="91" t="s">
        <v>319</v>
      </c>
      <c r="J128" s="114"/>
      <c r="K128" s="114"/>
    </row>
    <row r="129" spans="1:11" s="1" customFormat="1" x14ac:dyDescent="0.25">
      <c r="A129" s="84" t="s">
        <v>920</v>
      </c>
      <c r="B129" s="85"/>
      <c r="C129" s="85" t="s">
        <v>633</v>
      </c>
      <c r="D129" s="86" t="s">
        <v>547</v>
      </c>
      <c r="E129" s="89">
        <v>2</v>
      </c>
      <c r="F129" s="119">
        <v>10805740</v>
      </c>
      <c r="G129" s="89">
        <f>E129*F129</f>
        <v>21611480</v>
      </c>
      <c r="H129" s="90" t="s">
        <v>319</v>
      </c>
      <c r="I129" s="91" t="s">
        <v>319</v>
      </c>
      <c r="J129" s="114"/>
      <c r="K129" s="114"/>
    </row>
    <row r="130" spans="1:11" s="1" customFormat="1" x14ac:dyDescent="0.25">
      <c r="A130" s="92"/>
      <c r="B130" s="174" t="s">
        <v>923</v>
      </c>
      <c r="C130" s="175"/>
      <c r="D130" s="93" t="s">
        <v>321</v>
      </c>
      <c r="E130" s="94"/>
      <c r="F130" s="94"/>
      <c r="G130" s="113">
        <f>SUM(G127:G129)</f>
        <v>44972647</v>
      </c>
      <c r="H130" s="94"/>
      <c r="I130" s="94" t="s">
        <v>319</v>
      </c>
      <c r="K130" s="114"/>
    </row>
    <row r="131" spans="1:11" s="1" customFormat="1" x14ac:dyDescent="0.25">
      <c r="A131" s="155"/>
      <c r="B131" s="156"/>
      <c r="C131" s="156"/>
      <c r="D131" s="156"/>
      <c r="E131" s="156"/>
      <c r="F131" s="156"/>
      <c r="G131" s="156"/>
      <c r="H131" s="156"/>
      <c r="I131" s="157"/>
      <c r="K131" s="114"/>
    </row>
    <row r="132" spans="1:11" s="1" customFormat="1" x14ac:dyDescent="0.25">
      <c r="A132" s="92"/>
      <c r="B132" s="174" t="s">
        <v>331</v>
      </c>
      <c r="C132" s="175"/>
      <c r="D132" s="93" t="s">
        <v>321</v>
      </c>
      <c r="E132" s="94"/>
      <c r="F132" s="94"/>
      <c r="G132" s="95">
        <f>G25+G63+G124+G130</f>
        <v>261444048.04737109</v>
      </c>
      <c r="H132" s="94"/>
      <c r="I132" s="94" t="s">
        <v>319</v>
      </c>
      <c r="K132" s="114"/>
    </row>
    <row r="133" spans="1:11" s="1" customFormat="1" x14ac:dyDescent="0.25">
      <c r="A133" s="55"/>
      <c r="B133" s="182" t="s">
        <v>332</v>
      </c>
      <c r="C133" s="183"/>
      <c r="D133" s="97" t="s">
        <v>321</v>
      </c>
      <c r="E133" s="60"/>
      <c r="F133" s="60"/>
      <c r="G133" s="98" t="s">
        <v>319</v>
      </c>
      <c r="H133" s="60"/>
      <c r="I133" s="60" t="s">
        <v>319</v>
      </c>
      <c r="K133" s="114"/>
    </row>
    <row r="134" spans="1:11" s="1" customFormat="1" x14ac:dyDescent="0.25">
      <c r="A134" s="92"/>
      <c r="B134" s="174" t="s">
        <v>333</v>
      </c>
      <c r="C134" s="175"/>
      <c r="D134" s="93" t="s">
        <v>321</v>
      </c>
      <c r="E134" s="94"/>
      <c r="F134" s="94"/>
      <c r="G134" s="95">
        <f>G132</f>
        <v>261444048.04737109</v>
      </c>
      <c r="H134" s="94"/>
      <c r="I134" s="94" t="s">
        <v>319</v>
      </c>
      <c r="K134" s="114"/>
    </row>
    <row r="135" spans="1:11" s="1" customFormat="1" x14ac:dyDescent="0.25">
      <c r="A135" s="55"/>
      <c r="B135" s="182" t="s">
        <v>334</v>
      </c>
      <c r="C135" s="183"/>
      <c r="D135" s="97" t="s">
        <v>321</v>
      </c>
      <c r="E135" s="60"/>
      <c r="F135" s="60"/>
      <c r="G135" s="98" t="s">
        <v>319</v>
      </c>
      <c r="H135" s="60"/>
      <c r="I135" s="60" t="s">
        <v>319</v>
      </c>
      <c r="K135" s="114"/>
    </row>
    <row r="136" spans="1:11" s="1" customFormat="1" x14ac:dyDescent="0.25">
      <c r="A136" s="92"/>
      <c r="B136" s="174" t="s">
        <v>335</v>
      </c>
      <c r="C136" s="175"/>
      <c r="D136" s="93" t="s">
        <v>321</v>
      </c>
      <c r="E136" s="94"/>
      <c r="F136" s="94"/>
      <c r="G136" s="113">
        <f>G134</f>
        <v>261444048.04737109</v>
      </c>
      <c r="H136" s="94"/>
      <c r="I136" s="94" t="s">
        <v>319</v>
      </c>
      <c r="K136" s="114">
        <v>265222381.5337711</v>
      </c>
    </row>
    <row r="137" spans="1:11" s="1" customFormat="1" x14ac:dyDescent="0.25">
      <c r="A137" s="155"/>
      <c r="B137" s="156"/>
      <c r="C137" s="156"/>
      <c r="D137" s="156"/>
      <c r="E137" s="156"/>
      <c r="F137" s="156"/>
      <c r="G137" s="156"/>
      <c r="H137" s="156"/>
      <c r="I137" s="157"/>
      <c r="K137" s="114"/>
    </row>
    <row r="138" spans="1:11" s="1" customFormat="1" ht="15.75" customHeight="1" x14ac:dyDescent="0.25">
      <c r="A138" s="184" t="s">
        <v>921</v>
      </c>
      <c r="B138" s="185"/>
      <c r="C138" s="185"/>
      <c r="D138" s="185"/>
      <c r="E138" s="185"/>
      <c r="F138" s="185"/>
      <c r="G138" s="185"/>
      <c r="H138" s="185"/>
      <c r="I138" s="186"/>
      <c r="K138" s="114"/>
    </row>
    <row r="139" spans="1:11" s="1" customFormat="1" x14ac:dyDescent="0.25">
      <c r="A139" s="77"/>
      <c r="B139" s="78"/>
      <c r="C139" s="104" t="s">
        <v>302</v>
      </c>
      <c r="D139" s="80"/>
      <c r="E139" s="81"/>
      <c r="F139" s="81"/>
      <c r="G139" s="82"/>
      <c r="H139" s="81"/>
      <c r="I139" s="83"/>
      <c r="K139" s="114"/>
    </row>
    <row r="140" spans="1:11" s="1" customFormat="1" x14ac:dyDescent="0.25">
      <c r="A140" s="84" t="s">
        <v>19</v>
      </c>
      <c r="B140" s="85"/>
      <c r="C140" s="85" t="s">
        <v>875</v>
      </c>
      <c r="D140" s="86" t="s">
        <v>182</v>
      </c>
      <c r="E140" s="87">
        <v>1.8160000000000001</v>
      </c>
      <c r="F140" s="90" t="s">
        <v>319</v>
      </c>
      <c r="G140" s="91" t="s">
        <v>319</v>
      </c>
      <c r="H140" s="90" t="s">
        <v>319</v>
      </c>
      <c r="I140" s="91" t="s">
        <v>319</v>
      </c>
      <c r="K140" s="114"/>
    </row>
    <row r="141" spans="1:11" s="1" customFormat="1" x14ac:dyDescent="0.25">
      <c r="A141" s="105"/>
      <c r="B141" s="190" t="s">
        <v>330</v>
      </c>
      <c r="C141" s="191"/>
      <c r="D141" s="106" t="s">
        <v>321</v>
      </c>
      <c r="E141" s="107"/>
      <c r="F141" s="107"/>
      <c r="G141" s="108" t="s">
        <v>319</v>
      </c>
      <c r="H141" s="107"/>
      <c r="I141" s="107" t="s">
        <v>319</v>
      </c>
      <c r="K141" s="114"/>
    </row>
    <row r="142" spans="1:11" s="1" customFormat="1" x14ac:dyDescent="0.25">
      <c r="A142" s="155"/>
      <c r="B142" s="156"/>
      <c r="C142" s="156"/>
      <c r="D142" s="156"/>
      <c r="E142" s="156"/>
      <c r="F142" s="156"/>
      <c r="G142" s="156"/>
      <c r="H142" s="156"/>
      <c r="I142" s="157"/>
      <c r="K142" s="114"/>
    </row>
    <row r="143" spans="1:11" s="1" customFormat="1" x14ac:dyDescent="0.25">
      <c r="A143" s="109"/>
      <c r="B143" s="192" t="s">
        <v>924</v>
      </c>
      <c r="C143" s="193"/>
      <c r="D143" s="110" t="s">
        <v>321</v>
      </c>
      <c r="E143" s="111"/>
      <c r="F143" s="111"/>
      <c r="G143" s="112" t="s">
        <v>319</v>
      </c>
      <c r="H143" s="111"/>
      <c r="I143" s="111" t="s">
        <v>319</v>
      </c>
      <c r="K143" s="114"/>
    </row>
    <row r="144" spans="1:11" s="1" customFormat="1" x14ac:dyDescent="0.25">
      <c r="A144" s="158"/>
      <c r="B144" s="158"/>
      <c r="C144" s="158"/>
      <c r="D144" s="158"/>
      <c r="E144" s="158"/>
      <c r="F144" s="158"/>
      <c r="G144" s="158"/>
      <c r="H144" s="158"/>
      <c r="I144" s="158"/>
      <c r="K144" s="114"/>
    </row>
    <row r="145" spans="1:11" s="1" customFormat="1" x14ac:dyDescent="0.25">
      <c r="A145" s="66"/>
      <c r="B145" s="143" t="s">
        <v>310</v>
      </c>
      <c r="C145" s="143"/>
      <c r="D145" s="143"/>
      <c r="E145" s="143" t="s">
        <v>311</v>
      </c>
      <c r="F145" s="143"/>
      <c r="G145" s="143"/>
      <c r="H145" s="143"/>
      <c r="I145" s="143"/>
      <c r="K145" s="114"/>
    </row>
  </sheetData>
  <mergeCells count="45">
    <mergeCell ref="B2:H2"/>
    <mergeCell ref="B3:H3"/>
    <mergeCell ref="E5:H5"/>
    <mergeCell ref="B6:H6"/>
    <mergeCell ref="F7:G7"/>
    <mergeCell ref="H7:I7"/>
    <mergeCell ref="B8:H8"/>
    <mergeCell ref="B9:H9"/>
    <mergeCell ref="C11:I11"/>
    <mergeCell ref="F12:G12"/>
    <mergeCell ref="H12:I12"/>
    <mergeCell ref="A13:C13"/>
    <mergeCell ref="A15:H15"/>
    <mergeCell ref="A16:A18"/>
    <mergeCell ref="B16:B18"/>
    <mergeCell ref="C16:C18"/>
    <mergeCell ref="D16:D18"/>
    <mergeCell ref="E16:E18"/>
    <mergeCell ref="F16:I16"/>
    <mergeCell ref="F17:G17"/>
    <mergeCell ref="H17:I17"/>
    <mergeCell ref="A20:I20"/>
    <mergeCell ref="A21:I21"/>
    <mergeCell ref="B25:C25"/>
    <mergeCell ref="A26:I26"/>
    <mergeCell ref="B63:C63"/>
    <mergeCell ref="B64:C64"/>
    <mergeCell ref="A65:I65"/>
    <mergeCell ref="B124:C124"/>
    <mergeCell ref="A125:I125"/>
    <mergeCell ref="B130:C130"/>
    <mergeCell ref="A131:I131"/>
    <mergeCell ref="B132:C132"/>
    <mergeCell ref="B133:C133"/>
    <mergeCell ref="B134:C134"/>
    <mergeCell ref="B135:C135"/>
    <mergeCell ref="B136:C136"/>
    <mergeCell ref="A137:I137"/>
    <mergeCell ref="A138:I138"/>
    <mergeCell ref="B141:C141"/>
    <mergeCell ref="A142:I142"/>
    <mergeCell ref="B143:C143"/>
    <mergeCell ref="A144:I144"/>
    <mergeCell ref="B145:D145"/>
    <mergeCell ref="E145:I145"/>
  </mergeCells>
  <printOptions horizontalCentered="1"/>
  <pageMargins left="0.39" right="0.39" top="0.59" bottom="0.59" header="0.39" footer="0.39"/>
  <pageSetup paperSize="9" fitToHeight="10000" orientation="portrait" horizontalDpi="300" verticalDpi="300"/>
  <headerFooter>
    <oddHeader>&amp;Л&amp;9ПРОГРАММНЫЙ КОМПЛЕКС АВС-UZ (РЕДАКЦИЯ 2026.4)&amp;Ц&amp;С&amp;П202611410</oddHeader>
    <oddFooter>&amp;ЦСтраниц - &amp;К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36EA-B7DB-4201-9BA6-45E909926F36}">
  <sheetPr>
    <pageSetUpPr fitToPage="1"/>
  </sheetPr>
  <dimension ref="A1:G174"/>
  <sheetViews>
    <sheetView showGridLines="0" workbookViewId="0"/>
  </sheetViews>
  <sheetFormatPr defaultRowHeight="12.75" outlineLevelRow="1" x14ac:dyDescent="0.2"/>
  <cols>
    <col min="1" max="1" width="5.42578125" style="14" customWidth="1"/>
    <col min="2" max="2" width="13.5703125" style="14" customWidth="1"/>
    <col min="3" max="3" width="82.85546875" style="14" customWidth="1"/>
    <col min="4" max="6" width="10.140625" style="14" customWidth="1"/>
    <col min="7" max="16384" width="9.140625" style="14"/>
  </cols>
  <sheetData>
    <row r="1" spans="1:7" s="1" customFormat="1" x14ac:dyDescent="0.25">
      <c r="F1" s="2" t="s">
        <v>0</v>
      </c>
    </row>
    <row r="2" spans="1:7" s="1" customFormat="1" x14ac:dyDescent="0.25">
      <c r="B2" s="131" t="s">
        <v>1</v>
      </c>
      <c r="C2" s="131"/>
      <c r="D2" s="131"/>
      <c r="E2" s="131"/>
      <c r="F2" s="131"/>
    </row>
    <row r="3" spans="1:7" s="1" customFormat="1" x14ac:dyDescent="0.25">
      <c r="A3" s="3"/>
      <c r="B3" s="132" t="s">
        <v>2</v>
      </c>
      <c r="C3" s="132"/>
      <c r="D3" s="132"/>
      <c r="E3" s="132"/>
      <c r="F3" s="132"/>
    </row>
    <row r="4" spans="1:7" s="1" customFormat="1" x14ac:dyDescent="0.25">
      <c r="C4" s="4"/>
      <c r="D4" s="4"/>
      <c r="E4" s="4"/>
      <c r="F4" s="4"/>
    </row>
    <row r="5" spans="1:7" s="1" customFormat="1" ht="15.75" x14ac:dyDescent="0.25">
      <c r="A5" s="5"/>
      <c r="B5" s="5"/>
      <c r="C5" s="6" t="s">
        <v>3</v>
      </c>
      <c r="D5" s="133" t="s">
        <v>925</v>
      </c>
      <c r="E5" s="133"/>
      <c r="F5" s="133"/>
    </row>
    <row r="6" spans="1:7" s="1" customFormat="1" x14ac:dyDescent="0.25">
      <c r="A6" s="3"/>
      <c r="B6" s="134" t="s">
        <v>5</v>
      </c>
      <c r="C6" s="134"/>
      <c r="D6" s="134"/>
      <c r="E6" s="134"/>
      <c r="F6" s="134"/>
    </row>
    <row r="7" spans="1:7" s="1" customFormat="1" x14ac:dyDescent="0.25">
      <c r="D7" s="4"/>
      <c r="F7" s="7" t="s">
        <v>6</v>
      </c>
    </row>
    <row r="8" spans="1:7" s="1" customFormat="1" x14ac:dyDescent="0.25">
      <c r="A8" s="7" t="s">
        <v>7</v>
      </c>
      <c r="B8" s="131" t="s">
        <v>926</v>
      </c>
      <c r="C8" s="131"/>
      <c r="D8" s="131"/>
      <c r="E8" s="131"/>
      <c r="F8" s="131"/>
    </row>
    <row r="9" spans="1:7" s="1" customFormat="1" x14ac:dyDescent="0.25">
      <c r="A9" s="3"/>
      <c r="B9" s="132" t="s">
        <v>9</v>
      </c>
      <c r="C9" s="132"/>
      <c r="D9" s="132"/>
      <c r="E9" s="132"/>
      <c r="F9" s="132"/>
    </row>
    <row r="10" spans="1:7" s="1" customFormat="1" x14ac:dyDescent="0.25"/>
    <row r="11" spans="1:7" s="1" customFormat="1" x14ac:dyDescent="0.25">
      <c r="A11" s="8" t="s">
        <v>10</v>
      </c>
      <c r="B11" s="8"/>
      <c r="C11" s="135"/>
      <c r="D11" s="135"/>
      <c r="E11" s="135"/>
      <c r="F11" s="135"/>
    </row>
    <row r="12" spans="1:7" s="9" customFormat="1" ht="12.75" customHeight="1" x14ac:dyDescent="0.25">
      <c r="A12" s="136" t="s">
        <v>11</v>
      </c>
      <c r="B12" s="136" t="s">
        <v>12</v>
      </c>
      <c r="C12" s="136" t="s">
        <v>13</v>
      </c>
      <c r="D12" s="136" t="s">
        <v>14</v>
      </c>
      <c r="E12" s="138" t="s">
        <v>15</v>
      </c>
      <c r="F12" s="139"/>
    </row>
    <row r="13" spans="1:7" s="9" customFormat="1" ht="34.5" customHeight="1" x14ac:dyDescent="0.25">
      <c r="A13" s="137"/>
      <c r="B13" s="137"/>
      <c r="C13" s="137"/>
      <c r="D13" s="137"/>
      <c r="E13" s="10" t="s">
        <v>16</v>
      </c>
      <c r="F13" s="10" t="s">
        <v>17</v>
      </c>
    </row>
    <row r="14" spans="1:7" s="13" customFormat="1" x14ac:dyDescent="0.2">
      <c r="A14" s="11">
        <v>1</v>
      </c>
      <c r="B14" s="12">
        <v>2</v>
      </c>
      <c r="C14" s="12">
        <v>3</v>
      </c>
      <c r="D14" s="12">
        <v>4</v>
      </c>
      <c r="E14" s="12">
        <v>5</v>
      </c>
      <c r="F14" s="12">
        <v>6</v>
      </c>
    </row>
    <row r="15" spans="1:7" x14ac:dyDescent="0.2">
      <c r="A15" s="140"/>
      <c r="B15" s="141"/>
      <c r="C15" s="141"/>
      <c r="D15" s="141"/>
      <c r="E15" s="141"/>
      <c r="F15" s="142"/>
    </row>
    <row r="16" spans="1:7" s="1" customFormat="1" x14ac:dyDescent="0.25">
      <c r="A16" s="18" t="s">
        <v>19</v>
      </c>
      <c r="B16" s="19" t="s">
        <v>927</v>
      </c>
      <c r="C16" s="19" t="s">
        <v>928</v>
      </c>
      <c r="D16" s="20" t="s">
        <v>22</v>
      </c>
      <c r="E16" s="144">
        <v>8.9999999999999993E-3</v>
      </c>
      <c r="F16" s="145"/>
      <c r="G16" s="21"/>
    </row>
    <row r="17" spans="1:6" s="26" customFormat="1" outlineLevel="1" x14ac:dyDescent="0.25">
      <c r="A17" s="22" t="s">
        <v>23</v>
      </c>
      <c r="B17" s="23" t="s">
        <v>19</v>
      </c>
      <c r="C17" s="24" t="s">
        <v>37</v>
      </c>
      <c r="D17" s="23" t="s">
        <v>26</v>
      </c>
      <c r="E17" s="45">
        <v>1588</v>
      </c>
      <c r="F17" s="25">
        <v>14.292</v>
      </c>
    </row>
    <row r="18" spans="1:6" s="36" customFormat="1" outlineLevel="1" x14ac:dyDescent="0.25">
      <c r="A18" s="32" t="s">
        <v>27</v>
      </c>
      <c r="B18" s="33" t="s">
        <v>24</v>
      </c>
      <c r="C18" s="34" t="s">
        <v>25</v>
      </c>
      <c r="D18" s="33" t="s">
        <v>26</v>
      </c>
      <c r="E18" s="35">
        <v>110.15</v>
      </c>
      <c r="F18" s="35">
        <v>0.99134999999999995</v>
      </c>
    </row>
    <row r="19" spans="1:6" s="31" customFormat="1" ht="24" outlineLevel="1" x14ac:dyDescent="0.25">
      <c r="A19" s="27" t="s">
        <v>929</v>
      </c>
      <c r="B19" s="28" t="s">
        <v>93</v>
      </c>
      <c r="C19" s="29" t="s">
        <v>94</v>
      </c>
      <c r="D19" s="28" t="s">
        <v>30</v>
      </c>
      <c r="E19" s="30">
        <v>49.9</v>
      </c>
      <c r="F19" s="30">
        <v>0.4491</v>
      </c>
    </row>
    <row r="20" spans="1:6" s="31" customFormat="1" ht="24" outlineLevel="1" x14ac:dyDescent="0.25">
      <c r="A20" s="41" t="s">
        <v>930</v>
      </c>
      <c r="B20" s="42" t="s">
        <v>143</v>
      </c>
      <c r="C20" s="43" t="s">
        <v>144</v>
      </c>
      <c r="D20" s="42" t="s">
        <v>30</v>
      </c>
      <c r="E20" s="44">
        <v>9.92</v>
      </c>
      <c r="F20" s="44">
        <v>8.9279999999999998E-2</v>
      </c>
    </row>
    <row r="21" spans="1:6" s="31" customFormat="1" ht="24" outlineLevel="1" x14ac:dyDescent="0.25">
      <c r="A21" s="41" t="s">
        <v>931</v>
      </c>
      <c r="B21" s="42" t="s">
        <v>146</v>
      </c>
      <c r="C21" s="43" t="s">
        <v>147</v>
      </c>
      <c r="D21" s="42" t="s">
        <v>30</v>
      </c>
      <c r="E21" s="44">
        <v>20.57</v>
      </c>
      <c r="F21" s="44">
        <v>0.18512999999999999</v>
      </c>
    </row>
    <row r="22" spans="1:6" s="31" customFormat="1" ht="24" outlineLevel="1" x14ac:dyDescent="0.25">
      <c r="A22" s="41" t="s">
        <v>932</v>
      </c>
      <c r="B22" s="42" t="s">
        <v>386</v>
      </c>
      <c r="C22" s="43" t="s">
        <v>387</v>
      </c>
      <c r="D22" s="42" t="s">
        <v>30</v>
      </c>
      <c r="E22" s="44">
        <v>146.94</v>
      </c>
      <c r="F22" s="44">
        <v>1.3225</v>
      </c>
    </row>
    <row r="23" spans="1:6" s="31" customFormat="1" outlineLevel="1" x14ac:dyDescent="0.25">
      <c r="A23" s="41" t="s">
        <v>933</v>
      </c>
      <c r="B23" s="42" t="s">
        <v>411</v>
      </c>
      <c r="C23" s="43" t="s">
        <v>412</v>
      </c>
      <c r="D23" s="42" t="s">
        <v>30</v>
      </c>
      <c r="E23" s="44">
        <v>52.61</v>
      </c>
      <c r="F23" s="44">
        <v>0.47349000000000002</v>
      </c>
    </row>
    <row r="24" spans="1:6" s="31" customFormat="1" outlineLevel="1" x14ac:dyDescent="0.25">
      <c r="A24" s="41" t="s">
        <v>934</v>
      </c>
      <c r="B24" s="42" t="s">
        <v>152</v>
      </c>
      <c r="C24" s="43" t="s">
        <v>153</v>
      </c>
      <c r="D24" s="42" t="s">
        <v>30</v>
      </c>
      <c r="E24" s="44">
        <v>29.76</v>
      </c>
      <c r="F24" s="44">
        <v>0.26784000000000002</v>
      </c>
    </row>
    <row r="25" spans="1:6" s="36" customFormat="1" outlineLevel="1" x14ac:dyDescent="0.25">
      <c r="A25" s="37" t="s">
        <v>935</v>
      </c>
      <c r="B25" s="38" t="s">
        <v>936</v>
      </c>
      <c r="C25" s="39" t="s">
        <v>937</v>
      </c>
      <c r="D25" s="38" t="s">
        <v>76</v>
      </c>
      <c r="E25" s="40">
        <v>101.5</v>
      </c>
      <c r="F25" s="40">
        <v>0.91349999999999998</v>
      </c>
    </row>
    <row r="26" spans="1:6" s="36" customFormat="1" outlineLevel="1" x14ac:dyDescent="0.25">
      <c r="A26" s="47" t="s">
        <v>938</v>
      </c>
      <c r="B26" s="48" t="s">
        <v>394</v>
      </c>
      <c r="C26" s="49" t="s">
        <v>395</v>
      </c>
      <c r="D26" s="48" t="s">
        <v>76</v>
      </c>
      <c r="E26" s="51">
        <v>5.7</v>
      </c>
      <c r="F26" s="51">
        <v>5.1299999999999998E-2</v>
      </c>
    </row>
    <row r="27" spans="1:6" s="36" customFormat="1" outlineLevel="1" x14ac:dyDescent="0.25">
      <c r="A27" s="47" t="s">
        <v>939</v>
      </c>
      <c r="B27" s="48" t="s">
        <v>235</v>
      </c>
      <c r="C27" s="49" t="s">
        <v>159</v>
      </c>
      <c r="D27" s="48" t="s">
        <v>76</v>
      </c>
      <c r="E27" s="50">
        <v>175</v>
      </c>
      <c r="F27" s="51">
        <v>1.575</v>
      </c>
    </row>
    <row r="28" spans="1:6" s="36" customFormat="1" outlineLevel="1" x14ac:dyDescent="0.25">
      <c r="A28" s="47" t="s">
        <v>940</v>
      </c>
      <c r="B28" s="48" t="s">
        <v>161</v>
      </c>
      <c r="C28" s="49" t="s">
        <v>162</v>
      </c>
      <c r="D28" s="48" t="s">
        <v>61</v>
      </c>
      <c r="E28" s="51">
        <v>0.52</v>
      </c>
      <c r="F28" s="51">
        <v>4.6800000000000001E-3</v>
      </c>
    </row>
    <row r="29" spans="1:6" s="36" customFormat="1" outlineLevel="1" x14ac:dyDescent="0.25">
      <c r="A29" s="47" t="s">
        <v>941</v>
      </c>
      <c r="B29" s="48" t="s">
        <v>399</v>
      </c>
      <c r="C29" s="49" t="s">
        <v>400</v>
      </c>
      <c r="D29" s="48" t="s">
        <v>61</v>
      </c>
      <c r="E29" s="51">
        <v>6.5000000000000002E-2</v>
      </c>
      <c r="F29" s="51">
        <v>5.8500000000000002E-4</v>
      </c>
    </row>
    <row r="30" spans="1:6" s="36" customFormat="1" ht="24" outlineLevel="1" x14ac:dyDescent="0.25">
      <c r="A30" s="47" t="s">
        <v>942</v>
      </c>
      <c r="B30" s="48" t="s">
        <v>427</v>
      </c>
      <c r="C30" s="49" t="s">
        <v>428</v>
      </c>
      <c r="D30" s="48" t="s">
        <v>76</v>
      </c>
      <c r="E30" s="51">
        <v>3.06</v>
      </c>
      <c r="F30" s="51">
        <v>2.7539999999999999E-2</v>
      </c>
    </row>
    <row r="31" spans="1:6" s="36" customFormat="1" ht="24" outlineLevel="1" x14ac:dyDescent="0.25">
      <c r="A31" s="47" t="s">
        <v>943</v>
      </c>
      <c r="B31" s="48" t="s">
        <v>203</v>
      </c>
      <c r="C31" s="49" t="s">
        <v>204</v>
      </c>
      <c r="D31" s="48" t="s">
        <v>76</v>
      </c>
      <c r="E31" s="51">
        <v>7.14</v>
      </c>
      <c r="F31" s="51">
        <v>6.4259999999999998E-2</v>
      </c>
    </row>
    <row r="32" spans="1:6" s="36" customFormat="1" outlineLevel="1" x14ac:dyDescent="0.25">
      <c r="A32" s="47" t="s">
        <v>944</v>
      </c>
      <c r="B32" s="48" t="s">
        <v>375</v>
      </c>
      <c r="C32" s="49" t="s">
        <v>376</v>
      </c>
      <c r="D32" s="48" t="s">
        <v>377</v>
      </c>
      <c r="E32" s="51">
        <v>22.7</v>
      </c>
      <c r="F32" s="51">
        <v>0.20430000000000001</v>
      </c>
    </row>
    <row r="33" spans="1:7" s="36" customFormat="1" outlineLevel="1" x14ac:dyDescent="0.25">
      <c r="A33" s="47" t="s">
        <v>945</v>
      </c>
      <c r="B33" s="48" t="s">
        <v>208</v>
      </c>
      <c r="C33" s="49" t="s">
        <v>209</v>
      </c>
      <c r="D33" s="48" t="s">
        <v>210</v>
      </c>
      <c r="E33" s="51">
        <v>237.2</v>
      </c>
      <c r="F33" s="51">
        <v>2.1347999999999998</v>
      </c>
    </row>
    <row r="34" spans="1:7" s="1" customFormat="1" x14ac:dyDescent="0.25">
      <c r="A34" s="18" t="s">
        <v>31</v>
      </c>
      <c r="B34" s="19" t="s">
        <v>451</v>
      </c>
      <c r="C34" s="19" t="s">
        <v>452</v>
      </c>
      <c r="D34" s="20" t="s">
        <v>453</v>
      </c>
      <c r="E34" s="144">
        <v>4.4999999999999999E-4</v>
      </c>
      <c r="F34" s="145"/>
      <c r="G34" s="21"/>
    </row>
    <row r="35" spans="1:7" s="26" customFormat="1" outlineLevel="1" x14ac:dyDescent="0.25">
      <c r="A35" s="22" t="s">
        <v>32</v>
      </c>
      <c r="B35" s="23" t="s">
        <v>19</v>
      </c>
      <c r="C35" s="24" t="s">
        <v>37</v>
      </c>
      <c r="D35" s="23" t="s">
        <v>26</v>
      </c>
      <c r="E35" s="45">
        <v>3435</v>
      </c>
      <c r="F35" s="25">
        <v>1.5457000000000001</v>
      </c>
    </row>
    <row r="36" spans="1:7" s="36" customFormat="1" outlineLevel="1" x14ac:dyDescent="0.25">
      <c r="A36" s="32" t="s">
        <v>33</v>
      </c>
      <c r="B36" s="33" t="s">
        <v>24</v>
      </c>
      <c r="C36" s="34" t="s">
        <v>25</v>
      </c>
      <c r="D36" s="33" t="s">
        <v>26</v>
      </c>
      <c r="E36" s="99">
        <v>534</v>
      </c>
      <c r="F36" s="35">
        <v>0.24030000000000001</v>
      </c>
    </row>
    <row r="37" spans="1:7" s="31" customFormat="1" ht="24" outlineLevel="1" x14ac:dyDescent="0.25">
      <c r="A37" s="27" t="s">
        <v>946</v>
      </c>
      <c r="B37" s="28" t="s">
        <v>454</v>
      </c>
      <c r="C37" s="29" t="s">
        <v>455</v>
      </c>
      <c r="D37" s="28" t="s">
        <v>30</v>
      </c>
      <c r="E37" s="100">
        <v>210</v>
      </c>
      <c r="F37" s="30">
        <v>9.4500000000000001E-2</v>
      </c>
    </row>
    <row r="38" spans="1:7" s="31" customFormat="1" ht="24" outlineLevel="1" x14ac:dyDescent="0.25">
      <c r="A38" s="41" t="s">
        <v>947</v>
      </c>
      <c r="B38" s="42" t="s">
        <v>146</v>
      </c>
      <c r="C38" s="43" t="s">
        <v>147</v>
      </c>
      <c r="D38" s="42" t="s">
        <v>30</v>
      </c>
      <c r="E38" s="101">
        <v>526</v>
      </c>
      <c r="F38" s="44">
        <v>0.23669999999999999</v>
      </c>
    </row>
    <row r="39" spans="1:7" s="31" customFormat="1" outlineLevel="1" x14ac:dyDescent="0.25">
      <c r="A39" s="41" t="s">
        <v>948</v>
      </c>
      <c r="B39" s="42" t="s">
        <v>152</v>
      </c>
      <c r="C39" s="43" t="s">
        <v>153</v>
      </c>
      <c r="D39" s="42" t="s">
        <v>30</v>
      </c>
      <c r="E39" s="101">
        <v>8</v>
      </c>
      <c r="F39" s="44">
        <v>3.5999999999999999E-3</v>
      </c>
    </row>
    <row r="40" spans="1:7" s="36" customFormat="1" outlineLevel="1" x14ac:dyDescent="0.25">
      <c r="A40" s="37" t="s">
        <v>949</v>
      </c>
      <c r="B40" s="38" t="s">
        <v>459</v>
      </c>
      <c r="C40" s="39" t="s">
        <v>460</v>
      </c>
      <c r="D40" s="38" t="s">
        <v>61</v>
      </c>
      <c r="E40" s="40">
        <v>0.63</v>
      </c>
      <c r="F40" s="40">
        <v>2.8350000000000001E-4</v>
      </c>
    </row>
    <row r="41" spans="1:7" s="36" customFormat="1" outlineLevel="1" x14ac:dyDescent="0.25">
      <c r="A41" s="47" t="s">
        <v>950</v>
      </c>
      <c r="B41" s="48" t="s">
        <v>220</v>
      </c>
      <c r="C41" s="49" t="s">
        <v>221</v>
      </c>
      <c r="D41" s="48" t="s">
        <v>61</v>
      </c>
      <c r="E41" s="51">
        <v>0.14000000000000001</v>
      </c>
      <c r="F41" s="51">
        <v>6.3E-5</v>
      </c>
    </row>
    <row r="42" spans="1:7" s="36" customFormat="1" outlineLevel="1" x14ac:dyDescent="0.25">
      <c r="A42" s="47" t="s">
        <v>951</v>
      </c>
      <c r="B42" s="48" t="s">
        <v>952</v>
      </c>
      <c r="C42" s="49" t="s">
        <v>953</v>
      </c>
      <c r="D42" s="48" t="s">
        <v>61</v>
      </c>
      <c r="E42" s="50">
        <v>100</v>
      </c>
      <c r="F42" s="51">
        <v>4.4999999999999998E-2</v>
      </c>
    </row>
    <row r="43" spans="1:7" s="1" customFormat="1" ht="12.75" customHeight="1" x14ac:dyDescent="0.25">
      <c r="A43" s="15"/>
      <c r="B43" s="16"/>
      <c r="C43" s="143" t="s">
        <v>573</v>
      </c>
      <c r="D43" s="143"/>
      <c r="E43" s="16"/>
      <c r="F43" s="17"/>
    </row>
    <row r="44" spans="1:7" s="1" customFormat="1" ht="12.75" customHeight="1" x14ac:dyDescent="0.25">
      <c r="A44" s="15"/>
      <c r="B44" s="16"/>
      <c r="C44" s="16"/>
      <c r="D44" s="143" t="s">
        <v>954</v>
      </c>
      <c r="E44" s="143"/>
      <c r="F44" s="189"/>
    </row>
    <row r="45" spans="1:7" s="1" customFormat="1" ht="38.25" x14ac:dyDescent="0.25">
      <c r="A45" s="18" t="s">
        <v>24</v>
      </c>
      <c r="B45" s="19" t="s">
        <v>861</v>
      </c>
      <c r="C45" s="19" t="s">
        <v>862</v>
      </c>
      <c r="D45" s="20" t="s">
        <v>61</v>
      </c>
      <c r="E45" s="144">
        <v>3.7349999999999999</v>
      </c>
      <c r="F45" s="145"/>
      <c r="G45" s="21"/>
    </row>
    <row r="46" spans="1:7" s="26" customFormat="1" outlineLevel="1" x14ac:dyDescent="0.25">
      <c r="A46" s="22" t="s">
        <v>36</v>
      </c>
      <c r="B46" s="23" t="s">
        <v>19</v>
      </c>
      <c r="C46" s="24" t="s">
        <v>37</v>
      </c>
      <c r="D46" s="23" t="s">
        <v>26</v>
      </c>
      <c r="E46" s="25">
        <v>48.3</v>
      </c>
      <c r="F46" s="25">
        <v>180.40049999999999</v>
      </c>
    </row>
    <row r="47" spans="1:7" s="36" customFormat="1" outlineLevel="1" x14ac:dyDescent="0.25">
      <c r="A47" s="32" t="s">
        <v>38</v>
      </c>
      <c r="B47" s="33" t="s">
        <v>24</v>
      </c>
      <c r="C47" s="34" t="s">
        <v>25</v>
      </c>
      <c r="D47" s="33" t="s">
        <v>26</v>
      </c>
      <c r="E47" s="35">
        <v>10.206</v>
      </c>
      <c r="F47" s="35">
        <v>38.119399999999999</v>
      </c>
    </row>
    <row r="48" spans="1:7" s="31" customFormat="1" ht="24" outlineLevel="1" x14ac:dyDescent="0.25">
      <c r="A48" s="27" t="s">
        <v>39</v>
      </c>
      <c r="B48" s="28" t="s">
        <v>93</v>
      </c>
      <c r="C48" s="29" t="s">
        <v>94</v>
      </c>
      <c r="D48" s="28" t="s">
        <v>30</v>
      </c>
      <c r="E48" s="30">
        <v>0.27600000000000002</v>
      </c>
      <c r="F48" s="30">
        <v>1.0308999999999999</v>
      </c>
    </row>
    <row r="49" spans="1:7" s="31" customFormat="1" ht="24" outlineLevel="1" x14ac:dyDescent="0.25">
      <c r="A49" s="41" t="s">
        <v>955</v>
      </c>
      <c r="B49" s="42" t="s">
        <v>143</v>
      </c>
      <c r="C49" s="43" t="s">
        <v>144</v>
      </c>
      <c r="D49" s="42" t="s">
        <v>30</v>
      </c>
      <c r="E49" s="44">
        <v>3.1949999999999998</v>
      </c>
      <c r="F49" s="44">
        <v>11.933299999999999</v>
      </c>
    </row>
    <row r="50" spans="1:7" s="31" customFormat="1" ht="24" outlineLevel="1" x14ac:dyDescent="0.25">
      <c r="A50" s="41" t="s">
        <v>956</v>
      </c>
      <c r="B50" s="42" t="s">
        <v>582</v>
      </c>
      <c r="C50" s="43" t="s">
        <v>583</v>
      </c>
      <c r="D50" s="42" t="s">
        <v>30</v>
      </c>
      <c r="E50" s="44">
        <v>6.45</v>
      </c>
      <c r="F50" s="44">
        <v>24.090699999999998</v>
      </c>
    </row>
    <row r="51" spans="1:7" s="31" customFormat="1" outlineLevel="1" x14ac:dyDescent="0.25">
      <c r="A51" s="41" t="s">
        <v>957</v>
      </c>
      <c r="B51" s="42" t="s">
        <v>585</v>
      </c>
      <c r="C51" s="43" t="s">
        <v>586</v>
      </c>
      <c r="D51" s="42" t="s">
        <v>30</v>
      </c>
      <c r="E51" s="44">
        <v>0.23699999999999999</v>
      </c>
      <c r="F51" s="44">
        <v>0.88519499999999995</v>
      </c>
    </row>
    <row r="52" spans="1:7" s="31" customFormat="1" outlineLevel="1" x14ac:dyDescent="0.25">
      <c r="A52" s="41" t="s">
        <v>958</v>
      </c>
      <c r="B52" s="42" t="s">
        <v>588</v>
      </c>
      <c r="C52" s="43" t="s">
        <v>589</v>
      </c>
      <c r="D52" s="42" t="s">
        <v>30</v>
      </c>
      <c r="E52" s="44">
        <v>0.70499999999999996</v>
      </c>
      <c r="F52" s="44">
        <v>2.6332</v>
      </c>
    </row>
    <row r="53" spans="1:7" s="31" customFormat="1" outlineLevel="1" x14ac:dyDescent="0.25">
      <c r="A53" s="41" t="s">
        <v>959</v>
      </c>
      <c r="B53" s="42" t="s">
        <v>216</v>
      </c>
      <c r="C53" s="43" t="s">
        <v>217</v>
      </c>
      <c r="D53" s="42" t="s">
        <v>30</v>
      </c>
      <c r="E53" s="44">
        <v>2.2170000000000001</v>
      </c>
      <c r="F53" s="44">
        <v>8.2805</v>
      </c>
    </row>
    <row r="54" spans="1:7" s="31" customFormat="1" outlineLevel="1" x14ac:dyDescent="0.25">
      <c r="A54" s="41" t="s">
        <v>960</v>
      </c>
      <c r="B54" s="42" t="s">
        <v>592</v>
      </c>
      <c r="C54" s="43" t="s">
        <v>593</v>
      </c>
      <c r="D54" s="42" t="s">
        <v>30</v>
      </c>
      <c r="E54" s="44">
        <v>4.8000000000000001E-2</v>
      </c>
      <c r="F54" s="44">
        <v>0.17927999999999999</v>
      </c>
    </row>
    <row r="55" spans="1:7" s="31" customFormat="1" outlineLevel="1" x14ac:dyDescent="0.25">
      <c r="A55" s="41" t="s">
        <v>961</v>
      </c>
      <c r="B55" s="42" t="s">
        <v>595</v>
      </c>
      <c r="C55" s="43" t="s">
        <v>596</v>
      </c>
      <c r="D55" s="42" t="s">
        <v>30</v>
      </c>
      <c r="E55" s="44">
        <v>0.28499999999999998</v>
      </c>
      <c r="F55" s="44">
        <v>1.0645</v>
      </c>
    </row>
    <row r="56" spans="1:7" s="31" customFormat="1" outlineLevel="1" x14ac:dyDescent="0.25">
      <c r="A56" s="41" t="s">
        <v>962</v>
      </c>
      <c r="B56" s="42" t="s">
        <v>598</v>
      </c>
      <c r="C56" s="43" t="s">
        <v>599</v>
      </c>
      <c r="D56" s="42" t="s">
        <v>30</v>
      </c>
      <c r="E56" s="44">
        <v>0.255</v>
      </c>
      <c r="F56" s="44">
        <v>0.95242499999999997</v>
      </c>
    </row>
    <row r="57" spans="1:7" s="1" customFormat="1" x14ac:dyDescent="0.25">
      <c r="A57" s="18" t="s">
        <v>42</v>
      </c>
      <c r="B57" s="19"/>
      <c r="C57" s="19" t="s">
        <v>963</v>
      </c>
      <c r="D57" s="20" t="s">
        <v>182</v>
      </c>
      <c r="E57" s="148">
        <v>3.7349999999999999</v>
      </c>
      <c r="F57" s="149"/>
      <c r="G57" s="21"/>
    </row>
    <row r="58" spans="1:7" s="1" customFormat="1" ht="25.5" x14ac:dyDescent="0.25">
      <c r="A58" s="18" t="s">
        <v>50</v>
      </c>
      <c r="B58" s="19" t="s">
        <v>575</v>
      </c>
      <c r="C58" s="19" t="s">
        <v>779</v>
      </c>
      <c r="D58" s="20" t="s">
        <v>61</v>
      </c>
      <c r="E58" s="144">
        <v>3.7709999999999999</v>
      </c>
      <c r="F58" s="145"/>
      <c r="G58" s="21"/>
    </row>
    <row r="59" spans="1:7" s="26" customFormat="1" outlineLevel="1" x14ac:dyDescent="0.25">
      <c r="A59" s="22" t="s">
        <v>54</v>
      </c>
      <c r="B59" s="23" t="s">
        <v>19</v>
      </c>
      <c r="C59" s="24" t="s">
        <v>37</v>
      </c>
      <c r="D59" s="23" t="s">
        <v>26</v>
      </c>
      <c r="E59" s="45">
        <v>161</v>
      </c>
      <c r="F59" s="25">
        <v>607.13099999999997</v>
      </c>
    </row>
    <row r="60" spans="1:7" s="36" customFormat="1" outlineLevel="1" x14ac:dyDescent="0.25">
      <c r="A60" s="32" t="s">
        <v>55</v>
      </c>
      <c r="B60" s="33" t="s">
        <v>24</v>
      </c>
      <c r="C60" s="34" t="s">
        <v>25</v>
      </c>
      <c r="D60" s="33" t="s">
        <v>26</v>
      </c>
      <c r="E60" s="35">
        <v>34.020000000000003</v>
      </c>
      <c r="F60" s="35">
        <v>128.2894</v>
      </c>
    </row>
    <row r="61" spans="1:7" s="31" customFormat="1" ht="24" outlineLevel="1" x14ac:dyDescent="0.25">
      <c r="A61" s="27" t="s">
        <v>347</v>
      </c>
      <c r="B61" s="28" t="s">
        <v>93</v>
      </c>
      <c r="C61" s="29" t="s">
        <v>94</v>
      </c>
      <c r="D61" s="28" t="s">
        <v>30</v>
      </c>
      <c r="E61" s="30">
        <v>0.92</v>
      </c>
      <c r="F61" s="30">
        <v>3.4693000000000001</v>
      </c>
    </row>
    <row r="62" spans="1:7" s="31" customFormat="1" ht="24" outlineLevel="1" x14ac:dyDescent="0.25">
      <c r="A62" s="41" t="s">
        <v>350</v>
      </c>
      <c r="B62" s="42" t="s">
        <v>143</v>
      </c>
      <c r="C62" s="43" t="s">
        <v>144</v>
      </c>
      <c r="D62" s="42" t="s">
        <v>30</v>
      </c>
      <c r="E62" s="44">
        <v>10.65</v>
      </c>
      <c r="F62" s="44">
        <v>40.161099999999998</v>
      </c>
    </row>
    <row r="63" spans="1:7" s="31" customFormat="1" ht="24" outlineLevel="1" x14ac:dyDescent="0.25">
      <c r="A63" s="41" t="s">
        <v>964</v>
      </c>
      <c r="B63" s="42" t="s">
        <v>582</v>
      </c>
      <c r="C63" s="43" t="s">
        <v>583</v>
      </c>
      <c r="D63" s="42" t="s">
        <v>30</v>
      </c>
      <c r="E63" s="44">
        <v>21.5</v>
      </c>
      <c r="F63" s="44">
        <v>81.076499999999996</v>
      </c>
    </row>
    <row r="64" spans="1:7" s="31" customFormat="1" outlineLevel="1" x14ac:dyDescent="0.25">
      <c r="A64" s="41" t="s">
        <v>965</v>
      </c>
      <c r="B64" s="42" t="s">
        <v>585</v>
      </c>
      <c r="C64" s="43" t="s">
        <v>586</v>
      </c>
      <c r="D64" s="42" t="s">
        <v>30</v>
      </c>
      <c r="E64" s="44">
        <v>0.79</v>
      </c>
      <c r="F64" s="44">
        <v>2.9790999999999999</v>
      </c>
    </row>
    <row r="65" spans="1:6" s="31" customFormat="1" outlineLevel="1" x14ac:dyDescent="0.25">
      <c r="A65" s="41" t="s">
        <v>966</v>
      </c>
      <c r="B65" s="42" t="s">
        <v>588</v>
      </c>
      <c r="C65" s="43" t="s">
        <v>589</v>
      </c>
      <c r="D65" s="42" t="s">
        <v>30</v>
      </c>
      <c r="E65" s="44">
        <v>2.35</v>
      </c>
      <c r="F65" s="44">
        <v>8.8618000000000006</v>
      </c>
    </row>
    <row r="66" spans="1:6" s="31" customFormat="1" outlineLevel="1" x14ac:dyDescent="0.25">
      <c r="A66" s="41" t="s">
        <v>967</v>
      </c>
      <c r="B66" s="42" t="s">
        <v>216</v>
      </c>
      <c r="C66" s="43" t="s">
        <v>217</v>
      </c>
      <c r="D66" s="42" t="s">
        <v>30</v>
      </c>
      <c r="E66" s="44">
        <v>7.39</v>
      </c>
      <c r="F66" s="44">
        <v>27.867699999999999</v>
      </c>
    </row>
    <row r="67" spans="1:6" s="31" customFormat="1" outlineLevel="1" x14ac:dyDescent="0.25">
      <c r="A67" s="41" t="s">
        <v>968</v>
      </c>
      <c r="B67" s="42" t="s">
        <v>592</v>
      </c>
      <c r="C67" s="43" t="s">
        <v>593</v>
      </c>
      <c r="D67" s="42" t="s">
        <v>30</v>
      </c>
      <c r="E67" s="44">
        <v>0.16</v>
      </c>
      <c r="F67" s="44">
        <v>0.60336000000000001</v>
      </c>
    </row>
    <row r="68" spans="1:6" s="31" customFormat="1" outlineLevel="1" x14ac:dyDescent="0.25">
      <c r="A68" s="41" t="s">
        <v>969</v>
      </c>
      <c r="B68" s="42" t="s">
        <v>595</v>
      </c>
      <c r="C68" s="43" t="s">
        <v>596</v>
      </c>
      <c r="D68" s="42" t="s">
        <v>30</v>
      </c>
      <c r="E68" s="44">
        <v>0.95</v>
      </c>
      <c r="F68" s="44">
        <v>3.5825</v>
      </c>
    </row>
    <row r="69" spans="1:6" s="31" customFormat="1" outlineLevel="1" x14ac:dyDescent="0.25">
      <c r="A69" s="41" t="s">
        <v>970</v>
      </c>
      <c r="B69" s="42" t="s">
        <v>598</v>
      </c>
      <c r="C69" s="43" t="s">
        <v>599</v>
      </c>
      <c r="D69" s="42" t="s">
        <v>30</v>
      </c>
      <c r="E69" s="44">
        <v>0.85</v>
      </c>
      <c r="F69" s="44">
        <v>3.2054</v>
      </c>
    </row>
    <row r="70" spans="1:6" s="36" customFormat="1" outlineLevel="1" x14ac:dyDescent="0.25">
      <c r="A70" s="37" t="s">
        <v>971</v>
      </c>
      <c r="B70" s="38" t="s">
        <v>601</v>
      </c>
      <c r="C70" s="39" t="s">
        <v>602</v>
      </c>
      <c r="D70" s="38" t="s">
        <v>61</v>
      </c>
      <c r="E70" s="40">
        <v>3.6000000000000002E-4</v>
      </c>
      <c r="F70" s="40">
        <v>1.3576E-3</v>
      </c>
    </row>
    <row r="71" spans="1:6" s="36" customFormat="1" outlineLevel="1" x14ac:dyDescent="0.25">
      <c r="A71" s="47" t="s">
        <v>972</v>
      </c>
      <c r="B71" s="48" t="s">
        <v>604</v>
      </c>
      <c r="C71" s="49" t="s">
        <v>605</v>
      </c>
      <c r="D71" s="48" t="s">
        <v>166</v>
      </c>
      <c r="E71" s="51">
        <v>0.06</v>
      </c>
      <c r="F71" s="51">
        <v>0.22625999999999999</v>
      </c>
    </row>
    <row r="72" spans="1:6" s="36" customFormat="1" outlineLevel="1" x14ac:dyDescent="0.25">
      <c r="A72" s="47" t="s">
        <v>973</v>
      </c>
      <c r="B72" s="48" t="s">
        <v>607</v>
      </c>
      <c r="C72" s="49" t="s">
        <v>608</v>
      </c>
      <c r="D72" s="48" t="s">
        <v>61</v>
      </c>
      <c r="E72" s="51">
        <v>1.0000000000000001E-5</v>
      </c>
      <c r="F72" s="51">
        <v>3.7700000000000002E-5</v>
      </c>
    </row>
    <row r="73" spans="1:6" s="36" customFormat="1" outlineLevel="1" x14ac:dyDescent="0.25">
      <c r="A73" s="47" t="s">
        <v>974</v>
      </c>
      <c r="B73" s="48" t="s">
        <v>610</v>
      </c>
      <c r="C73" s="49" t="s">
        <v>611</v>
      </c>
      <c r="D73" s="48" t="s">
        <v>166</v>
      </c>
      <c r="E73" s="51">
        <v>0.08</v>
      </c>
      <c r="F73" s="51">
        <v>0.30168</v>
      </c>
    </row>
    <row r="74" spans="1:6" s="36" customFormat="1" ht="36" outlineLevel="1" x14ac:dyDescent="0.25">
      <c r="A74" s="47" t="s">
        <v>975</v>
      </c>
      <c r="B74" s="48" t="s">
        <v>613</v>
      </c>
      <c r="C74" s="49" t="s">
        <v>614</v>
      </c>
      <c r="D74" s="48" t="s">
        <v>61</v>
      </c>
      <c r="E74" s="51">
        <v>1.2999999999999999E-3</v>
      </c>
      <c r="F74" s="51">
        <v>4.9023000000000001E-3</v>
      </c>
    </row>
    <row r="75" spans="1:6" s="36" customFormat="1" outlineLevel="1" x14ac:dyDescent="0.25">
      <c r="A75" s="47" t="s">
        <v>976</v>
      </c>
      <c r="B75" s="48" t="s">
        <v>616</v>
      </c>
      <c r="C75" s="49" t="s">
        <v>617</v>
      </c>
      <c r="D75" s="48" t="s">
        <v>76</v>
      </c>
      <c r="E75" s="51">
        <v>0.61</v>
      </c>
      <c r="F75" s="51">
        <v>2.3003</v>
      </c>
    </row>
    <row r="76" spans="1:6" s="36" customFormat="1" outlineLevel="1" x14ac:dyDescent="0.25">
      <c r="A76" s="47" t="s">
        <v>977</v>
      </c>
      <c r="B76" s="48" t="s">
        <v>619</v>
      </c>
      <c r="C76" s="49" t="s">
        <v>620</v>
      </c>
      <c r="D76" s="48" t="s">
        <v>61</v>
      </c>
      <c r="E76" s="51">
        <v>1.0000000000000001E-5</v>
      </c>
      <c r="F76" s="51">
        <v>3.7700000000000002E-5</v>
      </c>
    </row>
    <row r="77" spans="1:6" s="36" customFormat="1" outlineLevel="1" x14ac:dyDescent="0.25">
      <c r="A77" s="47" t="s">
        <v>978</v>
      </c>
      <c r="B77" s="48" t="s">
        <v>622</v>
      </c>
      <c r="C77" s="49" t="s">
        <v>623</v>
      </c>
      <c r="D77" s="48" t="s">
        <v>61</v>
      </c>
      <c r="E77" s="51">
        <v>5.7000000000000002E-3</v>
      </c>
      <c r="F77" s="51">
        <v>2.1494699999999999E-2</v>
      </c>
    </row>
    <row r="78" spans="1:6" s="36" customFormat="1" outlineLevel="1" x14ac:dyDescent="0.25">
      <c r="A78" s="47" t="s">
        <v>979</v>
      </c>
      <c r="B78" s="48" t="s">
        <v>625</v>
      </c>
      <c r="C78" s="49" t="s">
        <v>626</v>
      </c>
      <c r="D78" s="48" t="s">
        <v>547</v>
      </c>
      <c r="E78" s="51">
        <v>3.7</v>
      </c>
      <c r="F78" s="51">
        <v>13.9527</v>
      </c>
    </row>
    <row r="79" spans="1:6" s="36" customFormat="1" outlineLevel="1" x14ac:dyDescent="0.25">
      <c r="A79" s="47" t="s">
        <v>980</v>
      </c>
      <c r="B79" s="48" t="s">
        <v>628</v>
      </c>
      <c r="C79" s="49" t="s">
        <v>629</v>
      </c>
      <c r="D79" s="48" t="s">
        <v>166</v>
      </c>
      <c r="E79" s="51">
        <v>0.03</v>
      </c>
      <c r="F79" s="51">
        <v>0.11312999999999999</v>
      </c>
    </row>
    <row r="80" spans="1:6" s="36" customFormat="1" outlineLevel="1" x14ac:dyDescent="0.25">
      <c r="A80" s="47" t="s">
        <v>981</v>
      </c>
      <c r="B80" s="48" t="s">
        <v>631</v>
      </c>
      <c r="C80" s="49" t="s">
        <v>632</v>
      </c>
      <c r="D80" s="48" t="s">
        <v>166</v>
      </c>
      <c r="E80" s="51">
        <v>8.7999999999999995E-2</v>
      </c>
      <c r="F80" s="51">
        <v>0.33184799999999998</v>
      </c>
    </row>
    <row r="81" spans="1:7" s="1" customFormat="1" x14ac:dyDescent="0.25">
      <c r="A81" s="18" t="s">
        <v>58</v>
      </c>
      <c r="B81" s="19"/>
      <c r="C81" s="19" t="s">
        <v>982</v>
      </c>
      <c r="D81" s="20" t="s">
        <v>182</v>
      </c>
      <c r="E81" s="148">
        <v>3.7709999999999999</v>
      </c>
      <c r="F81" s="149"/>
      <c r="G81" s="21"/>
    </row>
    <row r="82" spans="1:7" s="1" customFormat="1" ht="63.75" x14ac:dyDescent="0.25">
      <c r="A82" s="18" t="s">
        <v>66</v>
      </c>
      <c r="B82" s="19" t="s">
        <v>634</v>
      </c>
      <c r="C82" s="19" t="s">
        <v>635</v>
      </c>
      <c r="D82" s="20" t="s">
        <v>636</v>
      </c>
      <c r="E82" s="146">
        <v>80</v>
      </c>
      <c r="F82" s="147"/>
      <c r="G82" s="21"/>
    </row>
    <row r="83" spans="1:7" s="26" customFormat="1" outlineLevel="1" x14ac:dyDescent="0.25">
      <c r="A83" s="22" t="s">
        <v>69</v>
      </c>
      <c r="B83" s="23" t="s">
        <v>19</v>
      </c>
      <c r="C83" s="24" t="s">
        <v>37</v>
      </c>
      <c r="D83" s="23" t="s">
        <v>26</v>
      </c>
      <c r="E83" s="25">
        <v>0.9</v>
      </c>
      <c r="F83" s="45">
        <v>72</v>
      </c>
    </row>
    <row r="84" spans="1:7" s="1" customFormat="1" ht="76.5" x14ac:dyDescent="0.25">
      <c r="A84" s="18" t="s">
        <v>77</v>
      </c>
      <c r="B84" s="19" t="s">
        <v>637</v>
      </c>
      <c r="C84" s="19" t="s">
        <v>638</v>
      </c>
      <c r="D84" s="20" t="s">
        <v>639</v>
      </c>
      <c r="E84" s="144">
        <v>0.8</v>
      </c>
      <c r="F84" s="145"/>
      <c r="G84" s="21"/>
    </row>
    <row r="85" spans="1:7" s="26" customFormat="1" outlineLevel="1" x14ac:dyDescent="0.25">
      <c r="A85" s="22" t="s">
        <v>80</v>
      </c>
      <c r="B85" s="23" t="s">
        <v>19</v>
      </c>
      <c r="C85" s="24" t="s">
        <v>37</v>
      </c>
      <c r="D85" s="23" t="s">
        <v>26</v>
      </c>
      <c r="E85" s="45">
        <v>10</v>
      </c>
      <c r="F85" s="45">
        <v>8</v>
      </c>
    </row>
    <row r="86" spans="1:7" s="31" customFormat="1" outlineLevel="1" x14ac:dyDescent="0.25">
      <c r="A86" s="27" t="s">
        <v>81</v>
      </c>
      <c r="B86" s="28" t="s">
        <v>642</v>
      </c>
      <c r="C86" s="29" t="s">
        <v>643</v>
      </c>
      <c r="D86" s="28" t="s">
        <v>30</v>
      </c>
      <c r="E86" s="100">
        <v>10</v>
      </c>
      <c r="F86" s="100">
        <v>8</v>
      </c>
    </row>
    <row r="87" spans="1:7" s="1" customFormat="1" ht="63.75" x14ac:dyDescent="0.25">
      <c r="A87" s="18" t="s">
        <v>84</v>
      </c>
      <c r="B87" s="19" t="s">
        <v>644</v>
      </c>
      <c r="C87" s="19" t="s">
        <v>645</v>
      </c>
      <c r="D87" s="20" t="s">
        <v>646</v>
      </c>
      <c r="E87" s="144">
        <v>0.8</v>
      </c>
      <c r="F87" s="145"/>
      <c r="G87" s="21"/>
    </row>
    <row r="88" spans="1:7" s="26" customFormat="1" outlineLevel="1" x14ac:dyDescent="0.25">
      <c r="A88" s="22" t="s">
        <v>85</v>
      </c>
      <c r="B88" s="23" t="s">
        <v>19</v>
      </c>
      <c r="C88" s="24" t="s">
        <v>37</v>
      </c>
      <c r="D88" s="23" t="s">
        <v>26</v>
      </c>
      <c r="E88" s="25">
        <v>9.08</v>
      </c>
      <c r="F88" s="25">
        <v>7.2640000000000002</v>
      </c>
    </row>
    <row r="89" spans="1:7" s="36" customFormat="1" outlineLevel="1" x14ac:dyDescent="0.25">
      <c r="A89" s="32" t="s">
        <v>86</v>
      </c>
      <c r="B89" s="33" t="s">
        <v>24</v>
      </c>
      <c r="C89" s="34" t="s">
        <v>25</v>
      </c>
      <c r="D89" s="33" t="s">
        <v>26</v>
      </c>
      <c r="E89" s="35">
        <v>0.03</v>
      </c>
      <c r="F89" s="35">
        <v>2.4E-2</v>
      </c>
    </row>
    <row r="90" spans="1:7" s="31" customFormat="1" outlineLevel="1" x14ac:dyDescent="0.25">
      <c r="A90" s="27" t="s">
        <v>381</v>
      </c>
      <c r="B90" s="28" t="s">
        <v>187</v>
      </c>
      <c r="C90" s="29" t="s">
        <v>188</v>
      </c>
      <c r="D90" s="28" t="s">
        <v>30</v>
      </c>
      <c r="E90" s="30">
        <v>0.01</v>
      </c>
      <c r="F90" s="30">
        <v>8.0000000000000002E-3</v>
      </c>
    </row>
    <row r="91" spans="1:7" s="31" customFormat="1" outlineLevel="1" x14ac:dyDescent="0.25">
      <c r="A91" s="41" t="s">
        <v>382</v>
      </c>
      <c r="B91" s="42" t="s">
        <v>649</v>
      </c>
      <c r="C91" s="43" t="s">
        <v>650</v>
      </c>
      <c r="D91" s="42" t="s">
        <v>30</v>
      </c>
      <c r="E91" s="44">
        <v>0.01</v>
      </c>
      <c r="F91" s="44">
        <v>8.0000000000000002E-3</v>
      </c>
    </row>
    <row r="92" spans="1:7" s="31" customFormat="1" outlineLevel="1" x14ac:dyDescent="0.25">
      <c r="A92" s="41" t="s">
        <v>383</v>
      </c>
      <c r="B92" s="42" t="s">
        <v>152</v>
      </c>
      <c r="C92" s="43" t="s">
        <v>153</v>
      </c>
      <c r="D92" s="42" t="s">
        <v>30</v>
      </c>
      <c r="E92" s="44">
        <v>0.02</v>
      </c>
      <c r="F92" s="44">
        <v>1.6E-2</v>
      </c>
    </row>
    <row r="93" spans="1:7" s="36" customFormat="1" outlineLevel="1" x14ac:dyDescent="0.25">
      <c r="A93" s="37" t="s">
        <v>384</v>
      </c>
      <c r="B93" s="38" t="s">
        <v>653</v>
      </c>
      <c r="C93" s="39" t="s">
        <v>654</v>
      </c>
      <c r="D93" s="38" t="s">
        <v>61</v>
      </c>
      <c r="E93" s="40">
        <v>3.2000000000000001E-2</v>
      </c>
      <c r="F93" s="40">
        <v>2.5600000000000001E-2</v>
      </c>
    </row>
    <row r="94" spans="1:7" s="36" customFormat="1" outlineLevel="1" x14ac:dyDescent="0.25">
      <c r="A94" s="47" t="s">
        <v>385</v>
      </c>
      <c r="B94" s="48" t="s">
        <v>656</v>
      </c>
      <c r="C94" s="49" t="s">
        <v>657</v>
      </c>
      <c r="D94" s="48" t="s">
        <v>166</v>
      </c>
      <c r="E94" s="50">
        <v>5</v>
      </c>
      <c r="F94" s="50">
        <v>4</v>
      </c>
    </row>
    <row r="95" spans="1:7" s="1" customFormat="1" ht="63.75" x14ac:dyDescent="0.25">
      <c r="A95" s="18" t="s">
        <v>87</v>
      </c>
      <c r="B95" s="19" t="s">
        <v>658</v>
      </c>
      <c r="C95" s="19" t="s">
        <v>659</v>
      </c>
      <c r="D95" s="20" t="s">
        <v>660</v>
      </c>
      <c r="E95" s="144">
        <v>0.8</v>
      </c>
      <c r="F95" s="145"/>
      <c r="G95" s="21"/>
    </row>
    <row r="96" spans="1:7" s="26" customFormat="1" outlineLevel="1" x14ac:dyDescent="0.25">
      <c r="A96" s="22" t="s">
        <v>90</v>
      </c>
      <c r="B96" s="23" t="s">
        <v>19</v>
      </c>
      <c r="C96" s="24" t="s">
        <v>37</v>
      </c>
      <c r="D96" s="23" t="s">
        <v>26</v>
      </c>
      <c r="E96" s="25">
        <v>7.84</v>
      </c>
      <c r="F96" s="25">
        <v>6.2720000000000002</v>
      </c>
    </row>
    <row r="97" spans="1:7" s="36" customFormat="1" outlineLevel="1" x14ac:dyDescent="0.25">
      <c r="A97" s="32" t="s">
        <v>91</v>
      </c>
      <c r="B97" s="33" t="s">
        <v>24</v>
      </c>
      <c r="C97" s="34" t="s">
        <v>25</v>
      </c>
      <c r="D97" s="33" t="s">
        <v>26</v>
      </c>
      <c r="E97" s="35">
        <v>0.06</v>
      </c>
      <c r="F97" s="35">
        <v>4.8000000000000001E-2</v>
      </c>
    </row>
    <row r="98" spans="1:7" s="31" customFormat="1" outlineLevel="1" x14ac:dyDescent="0.25">
      <c r="A98" s="27" t="s">
        <v>92</v>
      </c>
      <c r="B98" s="28" t="s">
        <v>187</v>
      </c>
      <c r="C98" s="29" t="s">
        <v>188</v>
      </c>
      <c r="D98" s="28" t="s">
        <v>30</v>
      </c>
      <c r="E98" s="30">
        <v>0.02</v>
      </c>
      <c r="F98" s="30">
        <v>1.6E-2</v>
      </c>
    </row>
    <row r="99" spans="1:7" s="31" customFormat="1" outlineLevel="1" x14ac:dyDescent="0.25">
      <c r="A99" s="41" t="s">
        <v>95</v>
      </c>
      <c r="B99" s="42" t="s">
        <v>649</v>
      </c>
      <c r="C99" s="43" t="s">
        <v>650</v>
      </c>
      <c r="D99" s="42" t="s">
        <v>30</v>
      </c>
      <c r="E99" s="44">
        <v>0.02</v>
      </c>
      <c r="F99" s="44">
        <v>1.6E-2</v>
      </c>
    </row>
    <row r="100" spans="1:7" s="31" customFormat="1" outlineLevel="1" x14ac:dyDescent="0.25">
      <c r="A100" s="41" t="s">
        <v>408</v>
      </c>
      <c r="B100" s="42" t="s">
        <v>152</v>
      </c>
      <c r="C100" s="43" t="s">
        <v>153</v>
      </c>
      <c r="D100" s="42" t="s">
        <v>30</v>
      </c>
      <c r="E100" s="44">
        <v>0.04</v>
      </c>
      <c r="F100" s="44">
        <v>3.2000000000000001E-2</v>
      </c>
    </row>
    <row r="101" spans="1:7" s="31" customFormat="1" ht="24" outlineLevel="1" x14ac:dyDescent="0.25">
      <c r="A101" s="41" t="s">
        <v>409</v>
      </c>
      <c r="B101" s="42" t="s">
        <v>667</v>
      </c>
      <c r="C101" s="43" t="s">
        <v>668</v>
      </c>
      <c r="D101" s="42" t="s">
        <v>30</v>
      </c>
      <c r="E101" s="44">
        <v>2.2400000000000002</v>
      </c>
      <c r="F101" s="44">
        <v>1.792</v>
      </c>
    </row>
    <row r="102" spans="1:7" s="36" customFormat="1" outlineLevel="1" x14ac:dyDescent="0.25">
      <c r="A102" s="37" t="s">
        <v>410</v>
      </c>
      <c r="B102" s="38" t="s">
        <v>670</v>
      </c>
      <c r="C102" s="39" t="s">
        <v>671</v>
      </c>
      <c r="D102" s="38" t="s">
        <v>61</v>
      </c>
      <c r="E102" s="40">
        <v>3.1800000000000002E-2</v>
      </c>
      <c r="F102" s="40">
        <v>2.5440000000000001E-2</v>
      </c>
    </row>
    <row r="103" spans="1:7" s="36" customFormat="1" outlineLevel="1" x14ac:dyDescent="0.25">
      <c r="A103" s="47" t="s">
        <v>413</v>
      </c>
      <c r="B103" s="48" t="s">
        <v>673</v>
      </c>
      <c r="C103" s="49" t="s">
        <v>674</v>
      </c>
      <c r="D103" s="48" t="s">
        <v>61</v>
      </c>
      <c r="E103" s="51">
        <v>1.6E-2</v>
      </c>
      <c r="F103" s="51">
        <v>1.2800000000000001E-2</v>
      </c>
    </row>
    <row r="104" spans="1:7" s="1" customFormat="1" ht="63.75" x14ac:dyDescent="0.25">
      <c r="A104" s="18" t="s">
        <v>98</v>
      </c>
      <c r="B104" s="19" t="s">
        <v>675</v>
      </c>
      <c r="C104" s="19" t="s">
        <v>676</v>
      </c>
      <c r="D104" s="20" t="s">
        <v>660</v>
      </c>
      <c r="E104" s="144">
        <v>0.8</v>
      </c>
      <c r="F104" s="145"/>
      <c r="G104" s="21"/>
    </row>
    <row r="105" spans="1:7" s="26" customFormat="1" outlineLevel="1" x14ac:dyDescent="0.25">
      <c r="A105" s="22" t="s">
        <v>102</v>
      </c>
      <c r="B105" s="23" t="s">
        <v>19</v>
      </c>
      <c r="C105" s="24" t="s">
        <v>37</v>
      </c>
      <c r="D105" s="23" t="s">
        <v>26</v>
      </c>
      <c r="E105" s="25">
        <v>12.35</v>
      </c>
      <c r="F105" s="25">
        <v>9.8800000000000008</v>
      </c>
    </row>
    <row r="106" spans="1:7" s="36" customFormat="1" outlineLevel="1" x14ac:dyDescent="0.25">
      <c r="A106" s="32" t="s">
        <v>103</v>
      </c>
      <c r="B106" s="33" t="s">
        <v>24</v>
      </c>
      <c r="C106" s="34" t="s">
        <v>25</v>
      </c>
      <c r="D106" s="33" t="s">
        <v>26</v>
      </c>
      <c r="E106" s="35">
        <v>0.15</v>
      </c>
      <c r="F106" s="35">
        <v>0.12</v>
      </c>
    </row>
    <row r="107" spans="1:7" s="31" customFormat="1" outlineLevel="1" x14ac:dyDescent="0.25">
      <c r="A107" s="27" t="s">
        <v>433</v>
      </c>
      <c r="B107" s="28" t="s">
        <v>187</v>
      </c>
      <c r="C107" s="29" t="s">
        <v>188</v>
      </c>
      <c r="D107" s="28" t="s">
        <v>30</v>
      </c>
      <c r="E107" s="30">
        <v>0.05</v>
      </c>
      <c r="F107" s="30">
        <v>0.04</v>
      </c>
    </row>
    <row r="108" spans="1:7" s="31" customFormat="1" outlineLevel="1" x14ac:dyDescent="0.25">
      <c r="A108" s="41" t="s">
        <v>434</v>
      </c>
      <c r="B108" s="42" t="s">
        <v>649</v>
      </c>
      <c r="C108" s="43" t="s">
        <v>650</v>
      </c>
      <c r="D108" s="42" t="s">
        <v>30</v>
      </c>
      <c r="E108" s="44">
        <v>0.05</v>
      </c>
      <c r="F108" s="44">
        <v>0.04</v>
      </c>
    </row>
    <row r="109" spans="1:7" s="31" customFormat="1" outlineLevel="1" x14ac:dyDescent="0.25">
      <c r="A109" s="41" t="s">
        <v>435</v>
      </c>
      <c r="B109" s="42" t="s">
        <v>152</v>
      </c>
      <c r="C109" s="43" t="s">
        <v>153</v>
      </c>
      <c r="D109" s="42" t="s">
        <v>30</v>
      </c>
      <c r="E109" s="44">
        <v>0.1</v>
      </c>
      <c r="F109" s="44">
        <v>0.08</v>
      </c>
    </row>
    <row r="110" spans="1:7" s="31" customFormat="1" ht="24" outlineLevel="1" x14ac:dyDescent="0.25">
      <c r="A110" s="41" t="s">
        <v>436</v>
      </c>
      <c r="B110" s="42" t="s">
        <v>667</v>
      </c>
      <c r="C110" s="43" t="s">
        <v>668</v>
      </c>
      <c r="D110" s="42" t="s">
        <v>30</v>
      </c>
      <c r="E110" s="44">
        <v>3.25</v>
      </c>
      <c r="F110" s="44">
        <v>2.6</v>
      </c>
    </row>
    <row r="111" spans="1:7" s="36" customFormat="1" outlineLevel="1" x14ac:dyDescent="0.25">
      <c r="A111" s="37" t="s">
        <v>437</v>
      </c>
      <c r="B111" s="38" t="s">
        <v>673</v>
      </c>
      <c r="C111" s="39" t="s">
        <v>674</v>
      </c>
      <c r="D111" s="38" t="s">
        <v>61</v>
      </c>
      <c r="E111" s="40">
        <v>0.04</v>
      </c>
      <c r="F111" s="40">
        <v>3.2000000000000001E-2</v>
      </c>
    </row>
    <row r="112" spans="1:7" s="36" customFormat="1" outlineLevel="1" x14ac:dyDescent="0.25">
      <c r="A112" s="47" t="s">
        <v>438</v>
      </c>
      <c r="B112" s="48" t="s">
        <v>684</v>
      </c>
      <c r="C112" s="49" t="s">
        <v>685</v>
      </c>
      <c r="D112" s="48" t="s">
        <v>61</v>
      </c>
      <c r="E112" s="51">
        <v>9.5000000000000001E-2</v>
      </c>
      <c r="F112" s="51">
        <v>7.5999999999999998E-2</v>
      </c>
    </row>
    <row r="113" spans="1:7" s="1" customFormat="1" ht="13.5" thickBot="1" x14ac:dyDescent="0.3">
      <c r="A113" s="150"/>
      <c r="B113" s="151"/>
      <c r="C113" s="151"/>
      <c r="D113" s="151"/>
      <c r="E113" s="151"/>
      <c r="F113" s="152"/>
    </row>
    <row r="114" spans="1:7" s="1" customFormat="1" ht="13.5" thickTop="1" x14ac:dyDescent="0.25">
      <c r="A114" s="153" t="s">
        <v>290</v>
      </c>
      <c r="B114" s="154"/>
      <c r="C114" s="154"/>
      <c r="D114" s="52"/>
      <c r="E114" s="53"/>
      <c r="F114" s="54"/>
      <c r="G114" s="21"/>
    </row>
    <row r="115" spans="1:7" s="1" customFormat="1" x14ac:dyDescent="0.25">
      <c r="A115" s="155"/>
      <c r="B115" s="156"/>
      <c r="C115" s="156"/>
      <c r="D115" s="156"/>
      <c r="E115" s="156"/>
      <c r="F115" s="157"/>
    </row>
    <row r="116" spans="1:7" s="1" customFormat="1" x14ac:dyDescent="0.25">
      <c r="A116" s="55"/>
      <c r="B116" s="56"/>
      <c r="C116" s="57" t="s">
        <v>291</v>
      </c>
      <c r="D116" s="58"/>
      <c r="E116" s="59"/>
      <c r="F116" s="60"/>
    </row>
    <row r="117" spans="1:7" s="1" customFormat="1" x14ac:dyDescent="0.25">
      <c r="A117" s="61" t="s">
        <v>19</v>
      </c>
      <c r="B117" s="62" t="s">
        <v>19</v>
      </c>
      <c r="C117" s="62" t="s">
        <v>37</v>
      </c>
      <c r="D117" s="63" t="s">
        <v>26</v>
      </c>
      <c r="E117" s="64"/>
      <c r="F117" s="65">
        <v>906.78520000000003</v>
      </c>
    </row>
    <row r="118" spans="1:7" s="1" customFormat="1" x14ac:dyDescent="0.25">
      <c r="A118" s="61" t="s">
        <v>31</v>
      </c>
      <c r="B118" s="62" t="s">
        <v>24</v>
      </c>
      <c r="C118" s="62" t="s">
        <v>25</v>
      </c>
      <c r="D118" s="63" t="s">
        <v>26</v>
      </c>
      <c r="E118" s="64"/>
      <c r="F118" s="65">
        <v>167.83250000000001</v>
      </c>
    </row>
    <row r="119" spans="1:7" s="1" customFormat="1" x14ac:dyDescent="0.25">
      <c r="A119" s="55"/>
      <c r="B119" s="56"/>
      <c r="C119" s="57" t="s">
        <v>292</v>
      </c>
      <c r="D119" s="58"/>
      <c r="E119" s="59"/>
      <c r="F119" s="60"/>
    </row>
    <row r="120" spans="1:7" s="1" customFormat="1" x14ac:dyDescent="0.25">
      <c r="A120" s="61" t="s">
        <v>24</v>
      </c>
      <c r="B120" s="62" t="s">
        <v>187</v>
      </c>
      <c r="C120" s="62" t="s">
        <v>188</v>
      </c>
      <c r="D120" s="63" t="s">
        <v>30</v>
      </c>
      <c r="E120" s="64"/>
      <c r="F120" s="65">
        <v>6.4000000000000001E-2</v>
      </c>
    </row>
    <row r="121" spans="1:7" s="1" customFormat="1" ht="24" x14ac:dyDescent="0.25">
      <c r="A121" s="61" t="s">
        <v>42</v>
      </c>
      <c r="B121" s="62" t="s">
        <v>454</v>
      </c>
      <c r="C121" s="62" t="s">
        <v>455</v>
      </c>
      <c r="D121" s="63" t="s">
        <v>30</v>
      </c>
      <c r="E121" s="64"/>
      <c r="F121" s="65">
        <v>9.4500000000000001E-2</v>
      </c>
    </row>
    <row r="122" spans="1:7" s="1" customFormat="1" ht="24" x14ac:dyDescent="0.25">
      <c r="A122" s="61" t="s">
        <v>50</v>
      </c>
      <c r="B122" s="62" t="s">
        <v>93</v>
      </c>
      <c r="C122" s="62" t="s">
        <v>94</v>
      </c>
      <c r="D122" s="63" t="s">
        <v>30</v>
      </c>
      <c r="E122" s="64"/>
      <c r="F122" s="65">
        <v>4.9493</v>
      </c>
    </row>
    <row r="123" spans="1:7" s="1" customFormat="1" x14ac:dyDescent="0.25">
      <c r="A123" s="61" t="s">
        <v>58</v>
      </c>
      <c r="B123" s="62" t="s">
        <v>143</v>
      </c>
      <c r="C123" s="62" t="s">
        <v>144</v>
      </c>
      <c r="D123" s="63" t="s">
        <v>30</v>
      </c>
      <c r="E123" s="64"/>
      <c r="F123" s="65">
        <v>52.183799999999998</v>
      </c>
    </row>
    <row r="124" spans="1:7" s="1" customFormat="1" ht="24" x14ac:dyDescent="0.25">
      <c r="A124" s="61" t="s">
        <v>66</v>
      </c>
      <c r="B124" s="62" t="s">
        <v>582</v>
      </c>
      <c r="C124" s="62" t="s">
        <v>583</v>
      </c>
      <c r="D124" s="63" t="s">
        <v>30</v>
      </c>
      <c r="E124" s="64"/>
      <c r="F124" s="65">
        <v>105.1673</v>
      </c>
    </row>
    <row r="125" spans="1:7" s="1" customFormat="1" x14ac:dyDescent="0.25">
      <c r="A125" s="61" t="s">
        <v>77</v>
      </c>
      <c r="B125" s="62" t="s">
        <v>146</v>
      </c>
      <c r="C125" s="62" t="s">
        <v>147</v>
      </c>
      <c r="D125" s="63" t="s">
        <v>30</v>
      </c>
      <c r="E125" s="64"/>
      <c r="F125" s="65">
        <v>0.42182999999999998</v>
      </c>
    </row>
    <row r="126" spans="1:7" s="1" customFormat="1" x14ac:dyDescent="0.25">
      <c r="A126" s="61" t="s">
        <v>84</v>
      </c>
      <c r="B126" s="62" t="s">
        <v>649</v>
      </c>
      <c r="C126" s="62" t="s">
        <v>650</v>
      </c>
      <c r="D126" s="63" t="s">
        <v>30</v>
      </c>
      <c r="E126" s="64"/>
      <c r="F126" s="65">
        <v>6.4000000000000001E-2</v>
      </c>
    </row>
    <row r="127" spans="1:7" s="1" customFormat="1" x14ac:dyDescent="0.25">
      <c r="A127" s="61" t="s">
        <v>87</v>
      </c>
      <c r="B127" s="62" t="s">
        <v>585</v>
      </c>
      <c r="C127" s="62" t="s">
        <v>586</v>
      </c>
      <c r="D127" s="63" t="s">
        <v>30</v>
      </c>
      <c r="E127" s="64"/>
      <c r="F127" s="65">
        <v>3.8643000000000001</v>
      </c>
    </row>
    <row r="128" spans="1:7" s="1" customFormat="1" ht="24" x14ac:dyDescent="0.25">
      <c r="A128" s="61" t="s">
        <v>98</v>
      </c>
      <c r="B128" s="62" t="s">
        <v>386</v>
      </c>
      <c r="C128" s="62" t="s">
        <v>387</v>
      </c>
      <c r="D128" s="63" t="s">
        <v>30</v>
      </c>
      <c r="E128" s="64"/>
      <c r="F128" s="65">
        <v>1.3225</v>
      </c>
    </row>
    <row r="129" spans="1:6" s="1" customFormat="1" x14ac:dyDescent="0.25">
      <c r="A129" s="61" t="s">
        <v>106</v>
      </c>
      <c r="B129" s="62" t="s">
        <v>411</v>
      </c>
      <c r="C129" s="62" t="s">
        <v>412</v>
      </c>
      <c r="D129" s="63" t="s">
        <v>30</v>
      </c>
      <c r="E129" s="64"/>
      <c r="F129" s="65">
        <v>0.47349000000000002</v>
      </c>
    </row>
    <row r="130" spans="1:6" s="1" customFormat="1" x14ac:dyDescent="0.25">
      <c r="A130" s="61" t="s">
        <v>114</v>
      </c>
      <c r="B130" s="62" t="s">
        <v>588</v>
      </c>
      <c r="C130" s="62" t="s">
        <v>589</v>
      </c>
      <c r="D130" s="63" t="s">
        <v>30</v>
      </c>
      <c r="E130" s="64"/>
      <c r="F130" s="65">
        <v>11.494999999999999</v>
      </c>
    </row>
    <row r="131" spans="1:6" s="1" customFormat="1" x14ac:dyDescent="0.25">
      <c r="A131" s="61" t="s">
        <v>119</v>
      </c>
      <c r="B131" s="62" t="s">
        <v>216</v>
      </c>
      <c r="C131" s="62" t="s">
        <v>217</v>
      </c>
      <c r="D131" s="63" t="s">
        <v>30</v>
      </c>
      <c r="E131" s="64"/>
      <c r="F131" s="65">
        <v>36.148200000000003</v>
      </c>
    </row>
    <row r="132" spans="1:6" s="1" customFormat="1" x14ac:dyDescent="0.25">
      <c r="A132" s="61" t="s">
        <v>123</v>
      </c>
      <c r="B132" s="62" t="s">
        <v>592</v>
      </c>
      <c r="C132" s="62" t="s">
        <v>593</v>
      </c>
      <c r="D132" s="63" t="s">
        <v>30</v>
      </c>
      <c r="E132" s="64"/>
      <c r="F132" s="65">
        <v>0.78264</v>
      </c>
    </row>
    <row r="133" spans="1:6" s="1" customFormat="1" x14ac:dyDescent="0.25">
      <c r="A133" s="61" t="s">
        <v>128</v>
      </c>
      <c r="B133" s="62" t="s">
        <v>152</v>
      </c>
      <c r="C133" s="62" t="s">
        <v>153</v>
      </c>
      <c r="D133" s="63" t="s">
        <v>30</v>
      </c>
      <c r="E133" s="64"/>
      <c r="F133" s="65">
        <v>0.39944000000000002</v>
      </c>
    </row>
    <row r="134" spans="1:6" s="1" customFormat="1" x14ac:dyDescent="0.25">
      <c r="A134" s="61" t="s">
        <v>134</v>
      </c>
      <c r="B134" s="62" t="s">
        <v>595</v>
      </c>
      <c r="C134" s="62" t="s">
        <v>596</v>
      </c>
      <c r="D134" s="63" t="s">
        <v>30</v>
      </c>
      <c r="E134" s="64"/>
      <c r="F134" s="65">
        <v>4.6468999999999996</v>
      </c>
    </row>
    <row r="135" spans="1:6" s="1" customFormat="1" ht="24" x14ac:dyDescent="0.25">
      <c r="A135" s="61" t="s">
        <v>170</v>
      </c>
      <c r="B135" s="62" t="s">
        <v>667</v>
      </c>
      <c r="C135" s="62" t="s">
        <v>668</v>
      </c>
      <c r="D135" s="63" t="s">
        <v>30</v>
      </c>
      <c r="E135" s="64"/>
      <c r="F135" s="65">
        <v>4.3920000000000003</v>
      </c>
    </row>
    <row r="136" spans="1:6" s="1" customFormat="1" x14ac:dyDescent="0.25">
      <c r="A136" s="61" t="s">
        <v>177</v>
      </c>
      <c r="B136" s="62" t="s">
        <v>598</v>
      </c>
      <c r="C136" s="62" t="s">
        <v>599</v>
      </c>
      <c r="D136" s="63" t="s">
        <v>30</v>
      </c>
      <c r="E136" s="64"/>
      <c r="F136" s="65">
        <v>4.1577999999999999</v>
      </c>
    </row>
    <row r="137" spans="1:6" s="1" customFormat="1" x14ac:dyDescent="0.25">
      <c r="A137" s="61" t="s">
        <v>180</v>
      </c>
      <c r="B137" s="62" t="s">
        <v>642</v>
      </c>
      <c r="C137" s="62" t="s">
        <v>643</v>
      </c>
      <c r="D137" s="63" t="s">
        <v>30</v>
      </c>
      <c r="E137" s="64"/>
      <c r="F137" s="102">
        <v>8</v>
      </c>
    </row>
    <row r="138" spans="1:6" s="1" customFormat="1" x14ac:dyDescent="0.25">
      <c r="A138" s="55"/>
      <c r="B138" s="56"/>
      <c r="C138" s="57" t="s">
        <v>293</v>
      </c>
      <c r="D138" s="58"/>
      <c r="E138" s="59"/>
      <c r="F138" s="60"/>
    </row>
    <row r="139" spans="1:6" s="1" customFormat="1" x14ac:dyDescent="0.25">
      <c r="A139" s="61" t="s">
        <v>183</v>
      </c>
      <c r="B139" s="62" t="s">
        <v>936</v>
      </c>
      <c r="C139" s="62" t="s">
        <v>937</v>
      </c>
      <c r="D139" s="63" t="s">
        <v>76</v>
      </c>
      <c r="E139" s="64"/>
      <c r="F139" s="65">
        <v>0.91349999999999998</v>
      </c>
    </row>
    <row r="140" spans="1:6" s="1" customFormat="1" x14ac:dyDescent="0.25">
      <c r="A140" s="61" t="s">
        <v>211</v>
      </c>
      <c r="B140" s="62" t="s">
        <v>394</v>
      </c>
      <c r="C140" s="62" t="s">
        <v>395</v>
      </c>
      <c r="D140" s="63" t="s">
        <v>76</v>
      </c>
      <c r="E140" s="64"/>
      <c r="F140" s="65">
        <v>5.1299999999999998E-2</v>
      </c>
    </row>
    <row r="141" spans="1:6" s="1" customFormat="1" x14ac:dyDescent="0.25">
      <c r="A141" s="61" t="s">
        <v>222</v>
      </c>
      <c r="B141" s="62" t="s">
        <v>235</v>
      </c>
      <c r="C141" s="62" t="s">
        <v>159</v>
      </c>
      <c r="D141" s="63" t="s">
        <v>76</v>
      </c>
      <c r="E141" s="64"/>
      <c r="F141" s="65">
        <v>1.575</v>
      </c>
    </row>
    <row r="142" spans="1:6" s="1" customFormat="1" x14ac:dyDescent="0.25">
      <c r="A142" s="61" t="s">
        <v>223</v>
      </c>
      <c r="B142" s="62" t="s">
        <v>601</v>
      </c>
      <c r="C142" s="62" t="s">
        <v>602</v>
      </c>
      <c r="D142" s="63" t="s">
        <v>61</v>
      </c>
      <c r="E142" s="64"/>
      <c r="F142" s="65">
        <v>1.3576E-3</v>
      </c>
    </row>
    <row r="143" spans="1:6" s="1" customFormat="1" x14ac:dyDescent="0.25">
      <c r="A143" s="61" t="s">
        <v>226</v>
      </c>
      <c r="B143" s="62" t="s">
        <v>604</v>
      </c>
      <c r="C143" s="62" t="s">
        <v>605</v>
      </c>
      <c r="D143" s="63" t="s">
        <v>166</v>
      </c>
      <c r="E143" s="64"/>
      <c r="F143" s="65">
        <v>0.22625999999999999</v>
      </c>
    </row>
    <row r="144" spans="1:6" s="1" customFormat="1" x14ac:dyDescent="0.25">
      <c r="A144" s="61" t="s">
        <v>238</v>
      </c>
      <c r="B144" s="62" t="s">
        <v>161</v>
      </c>
      <c r="C144" s="62" t="s">
        <v>162</v>
      </c>
      <c r="D144" s="63" t="s">
        <v>61</v>
      </c>
      <c r="E144" s="64"/>
      <c r="F144" s="65">
        <v>4.6800000000000001E-3</v>
      </c>
    </row>
    <row r="145" spans="1:6" s="1" customFormat="1" x14ac:dyDescent="0.25">
      <c r="A145" s="61" t="s">
        <v>247</v>
      </c>
      <c r="B145" s="62" t="s">
        <v>670</v>
      </c>
      <c r="C145" s="62" t="s">
        <v>671</v>
      </c>
      <c r="D145" s="63" t="s">
        <v>61</v>
      </c>
      <c r="E145" s="64"/>
      <c r="F145" s="65">
        <v>2.5440000000000001E-2</v>
      </c>
    </row>
    <row r="146" spans="1:6" s="1" customFormat="1" x14ac:dyDescent="0.25">
      <c r="A146" s="61" t="s">
        <v>249</v>
      </c>
      <c r="B146" s="62" t="s">
        <v>607</v>
      </c>
      <c r="C146" s="62" t="s">
        <v>608</v>
      </c>
      <c r="D146" s="63" t="s">
        <v>61</v>
      </c>
      <c r="E146" s="64"/>
      <c r="F146" s="65">
        <v>3.7700000000000002E-5</v>
      </c>
    </row>
    <row r="147" spans="1:6" s="1" customFormat="1" x14ac:dyDescent="0.25">
      <c r="A147" s="61" t="s">
        <v>257</v>
      </c>
      <c r="B147" s="62" t="s">
        <v>673</v>
      </c>
      <c r="C147" s="62" t="s">
        <v>674</v>
      </c>
      <c r="D147" s="63" t="s">
        <v>61</v>
      </c>
      <c r="E147" s="64"/>
      <c r="F147" s="65">
        <v>4.48E-2</v>
      </c>
    </row>
    <row r="148" spans="1:6" s="1" customFormat="1" x14ac:dyDescent="0.25">
      <c r="A148" s="61" t="s">
        <v>259</v>
      </c>
      <c r="B148" s="62" t="s">
        <v>610</v>
      </c>
      <c r="C148" s="62" t="s">
        <v>611</v>
      </c>
      <c r="D148" s="63" t="s">
        <v>166</v>
      </c>
      <c r="E148" s="64"/>
      <c r="F148" s="65">
        <v>0.30168</v>
      </c>
    </row>
    <row r="149" spans="1:6" s="1" customFormat="1" x14ac:dyDescent="0.25">
      <c r="A149" s="61" t="s">
        <v>263</v>
      </c>
      <c r="B149" s="62" t="s">
        <v>684</v>
      </c>
      <c r="C149" s="62" t="s">
        <v>685</v>
      </c>
      <c r="D149" s="63" t="s">
        <v>61</v>
      </c>
      <c r="E149" s="64"/>
      <c r="F149" s="65">
        <v>7.5999999999999998E-2</v>
      </c>
    </row>
    <row r="150" spans="1:6" s="1" customFormat="1" x14ac:dyDescent="0.25">
      <c r="A150" s="61" t="s">
        <v>266</v>
      </c>
      <c r="B150" s="62" t="s">
        <v>399</v>
      </c>
      <c r="C150" s="62" t="s">
        <v>400</v>
      </c>
      <c r="D150" s="63" t="s">
        <v>61</v>
      </c>
      <c r="E150" s="64"/>
      <c r="F150" s="65">
        <v>5.8500000000000002E-4</v>
      </c>
    </row>
    <row r="151" spans="1:6" s="1" customFormat="1" x14ac:dyDescent="0.25">
      <c r="A151" s="61" t="s">
        <v>276</v>
      </c>
      <c r="B151" s="62" t="s">
        <v>459</v>
      </c>
      <c r="C151" s="62" t="s">
        <v>460</v>
      </c>
      <c r="D151" s="63" t="s">
        <v>61</v>
      </c>
      <c r="E151" s="64"/>
      <c r="F151" s="65">
        <v>2.8350000000000001E-4</v>
      </c>
    </row>
    <row r="152" spans="1:6" s="1" customFormat="1" ht="36" x14ac:dyDescent="0.25">
      <c r="A152" s="61" t="s">
        <v>280</v>
      </c>
      <c r="B152" s="62" t="s">
        <v>613</v>
      </c>
      <c r="C152" s="62" t="s">
        <v>614</v>
      </c>
      <c r="D152" s="63" t="s">
        <v>61</v>
      </c>
      <c r="E152" s="64"/>
      <c r="F152" s="65">
        <v>4.9023000000000001E-3</v>
      </c>
    </row>
    <row r="153" spans="1:6" s="1" customFormat="1" x14ac:dyDescent="0.25">
      <c r="A153" s="61" t="s">
        <v>284</v>
      </c>
      <c r="B153" s="62" t="s">
        <v>653</v>
      </c>
      <c r="C153" s="62" t="s">
        <v>654</v>
      </c>
      <c r="D153" s="63" t="s">
        <v>61</v>
      </c>
      <c r="E153" s="64"/>
      <c r="F153" s="65">
        <v>2.5600000000000001E-2</v>
      </c>
    </row>
    <row r="154" spans="1:6" s="1" customFormat="1" x14ac:dyDescent="0.25">
      <c r="A154" s="61" t="s">
        <v>294</v>
      </c>
      <c r="B154" s="62" t="s">
        <v>616</v>
      </c>
      <c r="C154" s="62" t="s">
        <v>617</v>
      </c>
      <c r="D154" s="63" t="s">
        <v>76</v>
      </c>
      <c r="E154" s="64"/>
      <c r="F154" s="65">
        <v>2.3003</v>
      </c>
    </row>
    <row r="155" spans="1:6" s="1" customFormat="1" x14ac:dyDescent="0.25">
      <c r="A155" s="61" t="s">
        <v>295</v>
      </c>
      <c r="B155" s="62" t="s">
        <v>619</v>
      </c>
      <c r="C155" s="62" t="s">
        <v>620</v>
      </c>
      <c r="D155" s="63" t="s">
        <v>61</v>
      </c>
      <c r="E155" s="64"/>
      <c r="F155" s="65">
        <v>3.7700000000000002E-5</v>
      </c>
    </row>
    <row r="156" spans="1:6" s="1" customFormat="1" x14ac:dyDescent="0.25">
      <c r="A156" s="61" t="s">
        <v>296</v>
      </c>
      <c r="B156" s="62" t="s">
        <v>220</v>
      </c>
      <c r="C156" s="62" t="s">
        <v>221</v>
      </c>
      <c r="D156" s="63" t="s">
        <v>61</v>
      </c>
      <c r="E156" s="64"/>
      <c r="F156" s="65">
        <v>6.3E-5</v>
      </c>
    </row>
    <row r="157" spans="1:6" s="1" customFormat="1" x14ac:dyDescent="0.25">
      <c r="A157" s="61" t="s">
        <v>297</v>
      </c>
      <c r="B157" s="62" t="s">
        <v>622</v>
      </c>
      <c r="C157" s="62" t="s">
        <v>623</v>
      </c>
      <c r="D157" s="63" t="s">
        <v>61</v>
      </c>
      <c r="E157" s="64"/>
      <c r="F157" s="65">
        <v>2.1494699999999999E-2</v>
      </c>
    </row>
    <row r="158" spans="1:6" s="1" customFormat="1" ht="24" x14ac:dyDescent="0.25">
      <c r="A158" s="61" t="s">
        <v>298</v>
      </c>
      <c r="B158" s="62" t="s">
        <v>427</v>
      </c>
      <c r="C158" s="62" t="s">
        <v>428</v>
      </c>
      <c r="D158" s="63" t="s">
        <v>76</v>
      </c>
      <c r="E158" s="64"/>
      <c r="F158" s="65">
        <v>2.7539999999999999E-2</v>
      </c>
    </row>
    <row r="159" spans="1:6" s="1" customFormat="1" ht="24" x14ac:dyDescent="0.25">
      <c r="A159" s="61" t="s">
        <v>299</v>
      </c>
      <c r="B159" s="62" t="s">
        <v>203</v>
      </c>
      <c r="C159" s="62" t="s">
        <v>204</v>
      </c>
      <c r="D159" s="63" t="s">
        <v>76</v>
      </c>
      <c r="E159" s="64"/>
      <c r="F159" s="65">
        <v>6.4259999999999998E-2</v>
      </c>
    </row>
    <row r="160" spans="1:6" s="1" customFormat="1" x14ac:dyDescent="0.25">
      <c r="A160" s="61" t="s">
        <v>300</v>
      </c>
      <c r="B160" s="62" t="s">
        <v>625</v>
      </c>
      <c r="C160" s="62" t="s">
        <v>626</v>
      </c>
      <c r="D160" s="63" t="s">
        <v>547</v>
      </c>
      <c r="E160" s="64"/>
      <c r="F160" s="65">
        <v>13.9527</v>
      </c>
    </row>
    <row r="161" spans="1:6" s="1" customFormat="1" x14ac:dyDescent="0.25">
      <c r="A161" s="61" t="s">
        <v>301</v>
      </c>
      <c r="B161" s="62" t="s">
        <v>628</v>
      </c>
      <c r="C161" s="62" t="s">
        <v>629</v>
      </c>
      <c r="D161" s="63" t="s">
        <v>166</v>
      </c>
      <c r="E161" s="64"/>
      <c r="F161" s="65">
        <v>0.11312999999999999</v>
      </c>
    </row>
    <row r="162" spans="1:6" s="1" customFormat="1" x14ac:dyDescent="0.25">
      <c r="A162" s="61" t="s">
        <v>303</v>
      </c>
      <c r="B162" s="62" t="s">
        <v>952</v>
      </c>
      <c r="C162" s="62" t="s">
        <v>953</v>
      </c>
      <c r="D162" s="63" t="s">
        <v>61</v>
      </c>
      <c r="E162" s="64"/>
      <c r="F162" s="65">
        <v>4.4999999999999998E-2</v>
      </c>
    </row>
    <row r="163" spans="1:6" s="1" customFormat="1" x14ac:dyDescent="0.25">
      <c r="A163" s="61" t="s">
        <v>304</v>
      </c>
      <c r="B163" s="62" t="s">
        <v>656</v>
      </c>
      <c r="C163" s="62" t="s">
        <v>657</v>
      </c>
      <c r="D163" s="63" t="s">
        <v>166</v>
      </c>
      <c r="E163" s="64"/>
      <c r="F163" s="102">
        <v>4</v>
      </c>
    </row>
    <row r="164" spans="1:6" s="1" customFormat="1" x14ac:dyDescent="0.25">
      <c r="A164" s="61" t="s">
        <v>305</v>
      </c>
      <c r="B164" s="62" t="s">
        <v>375</v>
      </c>
      <c r="C164" s="62" t="s">
        <v>376</v>
      </c>
      <c r="D164" s="63" t="s">
        <v>377</v>
      </c>
      <c r="E164" s="64"/>
      <c r="F164" s="65">
        <v>0.20430000000000001</v>
      </c>
    </row>
    <row r="165" spans="1:6" s="1" customFormat="1" x14ac:dyDescent="0.25">
      <c r="A165" s="61" t="s">
        <v>306</v>
      </c>
      <c r="B165" s="62" t="s">
        <v>631</v>
      </c>
      <c r="C165" s="62" t="s">
        <v>632</v>
      </c>
      <c r="D165" s="63" t="s">
        <v>166</v>
      </c>
      <c r="E165" s="64"/>
      <c r="F165" s="65">
        <v>0.33184799999999998</v>
      </c>
    </row>
    <row r="166" spans="1:6" s="1" customFormat="1" x14ac:dyDescent="0.25">
      <c r="A166" s="61" t="s">
        <v>307</v>
      </c>
      <c r="B166" s="62" t="s">
        <v>208</v>
      </c>
      <c r="C166" s="62" t="s">
        <v>209</v>
      </c>
      <c r="D166" s="63" t="s">
        <v>210</v>
      </c>
      <c r="E166" s="64"/>
      <c r="F166" s="65">
        <v>2.1347999999999998</v>
      </c>
    </row>
    <row r="167" spans="1:6" s="1" customFormat="1" x14ac:dyDescent="0.25">
      <c r="A167" s="55"/>
      <c r="B167" s="56"/>
      <c r="C167" s="57" t="s">
        <v>917</v>
      </c>
      <c r="D167" s="58"/>
      <c r="E167" s="59"/>
      <c r="F167" s="60"/>
    </row>
    <row r="168" spans="1:6" s="1" customFormat="1" x14ac:dyDescent="0.25">
      <c r="A168" s="61" t="s">
        <v>308</v>
      </c>
      <c r="B168" s="62"/>
      <c r="C168" s="62" t="s">
        <v>982</v>
      </c>
      <c r="D168" s="63" t="s">
        <v>182</v>
      </c>
      <c r="E168" s="64"/>
      <c r="F168" s="65">
        <v>3.7709999999999999</v>
      </c>
    </row>
    <row r="169" spans="1:6" s="1" customFormat="1" x14ac:dyDescent="0.25">
      <c r="A169" s="155"/>
      <c r="B169" s="156"/>
      <c r="C169" s="156"/>
      <c r="D169" s="156"/>
      <c r="E169" s="156"/>
      <c r="F169" s="157"/>
    </row>
    <row r="170" spans="1:6" s="1" customFormat="1" ht="15.75" customHeight="1" x14ac:dyDescent="0.25">
      <c r="A170" s="184" t="s">
        <v>921</v>
      </c>
      <c r="B170" s="185"/>
      <c r="C170" s="185"/>
      <c r="D170" s="185"/>
      <c r="E170" s="185"/>
      <c r="F170" s="186"/>
    </row>
    <row r="171" spans="1:6" s="1" customFormat="1" x14ac:dyDescent="0.25">
      <c r="A171" s="77"/>
      <c r="B171" s="78"/>
      <c r="C171" s="103" t="s">
        <v>302</v>
      </c>
      <c r="D171" s="80"/>
      <c r="E171" s="81"/>
      <c r="F171" s="83"/>
    </row>
    <row r="172" spans="1:6" s="1" customFormat="1" x14ac:dyDescent="0.25">
      <c r="A172" s="61" t="s">
        <v>19</v>
      </c>
      <c r="B172" s="62"/>
      <c r="C172" s="62" t="s">
        <v>963</v>
      </c>
      <c r="D172" s="63" t="s">
        <v>182</v>
      </c>
      <c r="E172" s="64"/>
      <c r="F172" s="65">
        <v>3.7349999999999999</v>
      </c>
    </row>
    <row r="173" spans="1:6" s="1" customFormat="1" x14ac:dyDescent="0.25">
      <c r="A173" s="158"/>
      <c r="B173" s="158"/>
      <c r="C173" s="158"/>
      <c r="D173" s="158"/>
      <c r="E173" s="158"/>
      <c r="F173" s="158"/>
    </row>
    <row r="174" spans="1:6" s="1" customFormat="1" x14ac:dyDescent="0.25">
      <c r="A174" s="66"/>
      <c r="B174" s="159" t="s">
        <v>310</v>
      </c>
      <c r="C174" s="159"/>
      <c r="D174" s="159" t="s">
        <v>983</v>
      </c>
      <c r="E174" s="159"/>
      <c r="F174" s="159"/>
    </row>
  </sheetData>
  <mergeCells count="34">
    <mergeCell ref="B2:F2"/>
    <mergeCell ref="B3:F3"/>
    <mergeCell ref="D5:F5"/>
    <mergeCell ref="B6:F6"/>
    <mergeCell ref="B8:F8"/>
    <mergeCell ref="B9:F9"/>
    <mergeCell ref="C11:F11"/>
    <mergeCell ref="A12:A13"/>
    <mergeCell ref="B12:B13"/>
    <mergeCell ref="C12:C13"/>
    <mergeCell ref="D12:D13"/>
    <mergeCell ref="E12:F12"/>
    <mergeCell ref="A15:F15"/>
    <mergeCell ref="E16:F16"/>
    <mergeCell ref="E34:F34"/>
    <mergeCell ref="C43:D43"/>
    <mergeCell ref="D44:F44"/>
    <mergeCell ref="E45:F45"/>
    <mergeCell ref="E57:F57"/>
    <mergeCell ref="E58:F58"/>
    <mergeCell ref="E81:F81"/>
    <mergeCell ref="E82:F82"/>
    <mergeCell ref="E84:F84"/>
    <mergeCell ref="E87:F87"/>
    <mergeCell ref="A170:F170"/>
    <mergeCell ref="A173:F173"/>
    <mergeCell ref="B174:C174"/>
    <mergeCell ref="D174:F174"/>
    <mergeCell ref="E95:F95"/>
    <mergeCell ref="E104:F104"/>
    <mergeCell ref="A113:F113"/>
    <mergeCell ref="A114:C114"/>
    <mergeCell ref="A115:F115"/>
    <mergeCell ref="A169:F169"/>
  </mergeCells>
  <printOptions horizontalCentered="1"/>
  <pageMargins left="0.39" right="0.39" top="0.59" bottom="0.59" header="0.39" footer="0.39"/>
  <pageSetup paperSize="9" fitToHeight="10000" orientation="portrait" horizontalDpi="300" verticalDpi="300"/>
  <headerFooter>
    <oddHeader>&amp;Л&amp;9ПРОГРАММНЫЙ КОМПЛЕКС АВС-UZ (РЕДАКЦИЯ 2026.4)&amp;Ц&amp;С&amp;П202611420</oddHeader>
    <oddFooter>&amp;ЦСтраниц - &amp;К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A703-3CF1-40C6-ABE4-EF404649846A}">
  <sheetPr>
    <pageSetUpPr fitToPage="1"/>
  </sheetPr>
  <dimension ref="A1:K97"/>
  <sheetViews>
    <sheetView showGridLines="0" topLeftCell="A66" workbookViewId="0">
      <selection activeCell="G88" sqref="G88"/>
    </sheetView>
  </sheetViews>
  <sheetFormatPr defaultRowHeight="12.75" x14ac:dyDescent="0.2"/>
  <cols>
    <col min="1" max="1" width="4.5703125" style="14" customWidth="1"/>
    <col min="2" max="2" width="13.5703125" style="14" customWidth="1"/>
    <col min="3" max="3" width="52.140625" style="14" customWidth="1"/>
    <col min="4" max="5" width="10.140625" style="14" customWidth="1"/>
    <col min="6" max="6" width="10.85546875" style="14" bestFit="1" customWidth="1"/>
    <col min="7" max="7" width="15.140625" style="14" bestFit="1" customWidth="1"/>
    <col min="8" max="9" width="10.140625" style="14" customWidth="1"/>
    <col min="10" max="10" width="9.140625" style="14"/>
    <col min="11" max="11" width="14.42578125" style="115" bestFit="1" customWidth="1"/>
    <col min="12" max="16384" width="9.140625" style="14"/>
  </cols>
  <sheetData>
    <row r="1" spans="1:11" s="1" customFormat="1" x14ac:dyDescent="0.25">
      <c r="I1" s="2" t="s">
        <v>312</v>
      </c>
      <c r="K1" s="114"/>
    </row>
    <row r="2" spans="1:11" s="1" customFormat="1" x14ac:dyDescent="0.25">
      <c r="B2" s="131" t="s">
        <v>1</v>
      </c>
      <c r="C2" s="131"/>
      <c r="D2" s="131"/>
      <c r="E2" s="131"/>
      <c r="F2" s="131"/>
      <c r="G2" s="131"/>
      <c r="H2" s="131"/>
      <c r="K2" s="114"/>
    </row>
    <row r="3" spans="1:11" s="1" customFormat="1" x14ac:dyDescent="0.25">
      <c r="A3" s="3"/>
      <c r="B3" s="132" t="s">
        <v>2</v>
      </c>
      <c r="C3" s="132"/>
      <c r="D3" s="132"/>
      <c r="E3" s="132"/>
      <c r="F3" s="132"/>
      <c r="G3" s="132"/>
      <c r="H3" s="132"/>
      <c r="K3" s="114"/>
    </row>
    <row r="4" spans="1:11" s="1" customFormat="1" x14ac:dyDescent="0.25">
      <c r="C4" s="4"/>
      <c r="D4" s="4"/>
      <c r="E4" s="4"/>
      <c r="F4" s="4"/>
      <c r="G4" s="4"/>
      <c r="H4" s="4"/>
      <c r="I4" s="4"/>
      <c r="K4" s="114"/>
    </row>
    <row r="5" spans="1:11" s="1" customFormat="1" ht="15.75" x14ac:dyDescent="0.25">
      <c r="A5" s="5"/>
      <c r="B5" s="5"/>
      <c r="C5" s="6" t="s">
        <v>313</v>
      </c>
      <c r="D5" s="6" t="s">
        <v>314</v>
      </c>
      <c r="E5" s="133" t="s">
        <v>925</v>
      </c>
      <c r="F5" s="133"/>
      <c r="G5" s="133"/>
      <c r="H5" s="133"/>
      <c r="I5" s="67"/>
      <c r="K5" s="114"/>
    </row>
    <row r="6" spans="1:11" s="1" customFormat="1" x14ac:dyDescent="0.25">
      <c r="A6" s="3"/>
      <c r="B6" s="134" t="s">
        <v>5</v>
      </c>
      <c r="C6" s="134"/>
      <c r="D6" s="134"/>
      <c r="E6" s="134"/>
      <c r="F6" s="134"/>
      <c r="G6" s="134"/>
      <c r="H6" s="134"/>
      <c r="K6" s="114"/>
    </row>
    <row r="7" spans="1:11" s="1" customFormat="1" x14ac:dyDescent="0.25">
      <c r="D7" s="4"/>
      <c r="F7" s="160" t="s">
        <v>6</v>
      </c>
      <c r="G7" s="160"/>
      <c r="H7" s="161"/>
      <c r="I7" s="161"/>
      <c r="K7" s="114"/>
    </row>
    <row r="8" spans="1:11" s="1" customFormat="1" x14ac:dyDescent="0.25">
      <c r="A8" s="7" t="s">
        <v>7</v>
      </c>
      <c r="B8" s="131" t="s">
        <v>926</v>
      </c>
      <c r="C8" s="131"/>
      <c r="D8" s="131"/>
      <c r="E8" s="131"/>
      <c r="F8" s="131"/>
      <c r="G8" s="131"/>
      <c r="H8" s="131"/>
      <c r="I8" s="4"/>
      <c r="K8" s="114"/>
    </row>
    <row r="9" spans="1:11" s="1" customFormat="1" x14ac:dyDescent="0.25">
      <c r="A9" s="3"/>
      <c r="B9" s="132" t="s">
        <v>9</v>
      </c>
      <c r="C9" s="132"/>
      <c r="D9" s="132"/>
      <c r="E9" s="132"/>
      <c r="F9" s="132"/>
      <c r="G9" s="132"/>
      <c r="H9" s="132"/>
      <c r="K9" s="114"/>
    </row>
    <row r="10" spans="1:11" s="1" customFormat="1" x14ac:dyDescent="0.25">
      <c r="K10" s="114"/>
    </row>
    <row r="11" spans="1:11" s="1" customFormat="1" x14ac:dyDescent="0.25">
      <c r="A11" s="8" t="s">
        <v>10</v>
      </c>
      <c r="B11" s="8"/>
      <c r="C11" s="161"/>
      <c r="D11" s="161"/>
      <c r="E11" s="161"/>
      <c r="F11" s="161"/>
      <c r="G11" s="161"/>
      <c r="H11" s="161"/>
      <c r="I11" s="161"/>
      <c r="K11" s="114"/>
    </row>
    <row r="12" spans="1:11" x14ac:dyDescent="0.2">
      <c r="A12" s="68"/>
      <c r="B12" s="68"/>
      <c r="C12" s="68"/>
      <c r="D12" s="68"/>
      <c r="E12" s="68"/>
      <c r="F12" s="162" t="s">
        <v>315</v>
      </c>
      <c r="G12" s="162"/>
      <c r="H12" s="163" t="s">
        <v>316</v>
      </c>
      <c r="I12" s="163"/>
      <c r="J12" s="68"/>
    </row>
    <row r="13" spans="1:11" x14ac:dyDescent="0.2">
      <c r="A13" s="164" t="s">
        <v>317</v>
      </c>
      <c r="B13" s="164"/>
      <c r="C13" s="164"/>
      <c r="D13" s="69"/>
      <c r="E13" s="70"/>
      <c r="F13" s="71" t="s">
        <v>984</v>
      </c>
      <c r="G13" s="71" t="s">
        <v>318</v>
      </c>
      <c r="H13" s="71" t="s">
        <v>319</v>
      </c>
      <c r="I13" s="71" t="s">
        <v>318</v>
      </c>
    </row>
    <row r="14" spans="1:11" x14ac:dyDescent="0.2">
      <c r="A14" s="68"/>
      <c r="B14" s="68"/>
      <c r="C14" s="68"/>
      <c r="D14" s="68"/>
      <c r="E14" s="68"/>
      <c r="F14" s="68"/>
      <c r="G14" s="68"/>
      <c r="H14" s="68"/>
      <c r="I14" s="68"/>
      <c r="J14" s="68"/>
    </row>
    <row r="15" spans="1:11" s="1" customFormat="1" x14ac:dyDescent="0.25">
      <c r="A15" s="165" t="s">
        <v>320</v>
      </c>
      <c r="B15" s="165"/>
      <c r="C15" s="165"/>
      <c r="D15" s="165"/>
      <c r="E15" s="165"/>
      <c r="F15" s="165"/>
      <c r="G15" s="165"/>
      <c r="H15" s="165"/>
      <c r="I15" s="72" t="s">
        <v>321</v>
      </c>
      <c r="K15" s="114"/>
    </row>
    <row r="16" spans="1:11" s="9" customFormat="1" x14ac:dyDescent="0.25">
      <c r="A16" s="166" t="s">
        <v>11</v>
      </c>
      <c r="B16" s="166" t="s">
        <v>12</v>
      </c>
      <c r="C16" s="166" t="s">
        <v>13</v>
      </c>
      <c r="D16" s="166" t="s">
        <v>14</v>
      </c>
      <c r="E16" s="166" t="s">
        <v>15</v>
      </c>
      <c r="F16" s="169" t="s">
        <v>317</v>
      </c>
      <c r="G16" s="170"/>
      <c r="H16" s="170"/>
      <c r="I16" s="171"/>
      <c r="K16" s="116"/>
    </row>
    <row r="17" spans="1:11" s="9" customFormat="1" ht="12.75" customHeight="1" x14ac:dyDescent="0.25">
      <c r="A17" s="167"/>
      <c r="B17" s="167"/>
      <c r="C17" s="167"/>
      <c r="D17" s="167"/>
      <c r="E17" s="167"/>
      <c r="F17" s="172" t="s">
        <v>322</v>
      </c>
      <c r="G17" s="173"/>
      <c r="H17" s="172" t="s">
        <v>323</v>
      </c>
      <c r="I17" s="173"/>
      <c r="K17" s="116"/>
    </row>
    <row r="18" spans="1:11" s="9" customFormat="1" x14ac:dyDescent="0.25">
      <c r="A18" s="168"/>
      <c r="B18" s="168"/>
      <c r="C18" s="168"/>
      <c r="D18" s="168"/>
      <c r="E18" s="168"/>
      <c r="F18" s="73" t="s">
        <v>324</v>
      </c>
      <c r="G18" s="73" t="s">
        <v>325</v>
      </c>
      <c r="H18" s="73" t="s">
        <v>324</v>
      </c>
      <c r="I18" s="73" t="s">
        <v>325</v>
      </c>
      <c r="K18" s="116"/>
    </row>
    <row r="19" spans="1:11" s="13" customFormat="1" x14ac:dyDescent="0.2">
      <c r="A19" s="74">
        <v>1</v>
      </c>
      <c r="B19" s="75">
        <v>2</v>
      </c>
      <c r="C19" s="75">
        <v>3</v>
      </c>
      <c r="D19" s="75">
        <v>4</v>
      </c>
      <c r="E19" s="75">
        <v>5</v>
      </c>
      <c r="F19" s="76">
        <v>6</v>
      </c>
      <c r="G19" s="76">
        <v>7</v>
      </c>
      <c r="H19" s="76">
        <v>8</v>
      </c>
      <c r="I19" s="76">
        <v>9</v>
      </c>
      <c r="K19" s="117"/>
    </row>
    <row r="20" spans="1:11" ht="13.5" thickBot="1" x14ac:dyDescent="0.25">
      <c r="A20" s="176"/>
      <c r="B20" s="177"/>
      <c r="C20" s="177"/>
      <c r="D20" s="177"/>
      <c r="E20" s="177"/>
      <c r="F20" s="177"/>
      <c r="G20" s="177"/>
      <c r="H20" s="177"/>
      <c r="I20" s="178"/>
    </row>
    <row r="21" spans="1:11" s="1" customFormat="1" ht="13.5" thickTop="1" x14ac:dyDescent="0.25">
      <c r="A21" s="179" t="s">
        <v>985</v>
      </c>
      <c r="B21" s="180"/>
      <c r="C21" s="180"/>
      <c r="D21" s="180"/>
      <c r="E21" s="180"/>
      <c r="F21" s="180"/>
      <c r="G21" s="180"/>
      <c r="H21" s="180"/>
      <c r="I21" s="181"/>
      <c r="J21" s="21"/>
      <c r="K21" s="114"/>
    </row>
    <row r="22" spans="1:11" s="1" customFormat="1" x14ac:dyDescent="0.25">
      <c r="A22" s="77"/>
      <c r="B22" s="78"/>
      <c r="C22" s="79" t="s">
        <v>291</v>
      </c>
      <c r="D22" s="80"/>
      <c r="E22" s="81"/>
      <c r="F22" s="81"/>
      <c r="G22" s="82"/>
      <c r="H22" s="81"/>
      <c r="I22" s="83"/>
      <c r="K22" s="114"/>
    </row>
    <row r="23" spans="1:11" s="1" customFormat="1" x14ac:dyDescent="0.25">
      <c r="A23" s="84" t="s">
        <v>19</v>
      </c>
      <c r="B23" s="85" t="s">
        <v>19</v>
      </c>
      <c r="C23" s="85" t="s">
        <v>37</v>
      </c>
      <c r="D23" s="86" t="s">
        <v>26</v>
      </c>
      <c r="E23" s="87">
        <v>906.78520000000003</v>
      </c>
      <c r="F23" s="120">
        <v>29818.17</v>
      </c>
      <c r="G23" s="89">
        <f>E23*F23</f>
        <v>27038675.247083999</v>
      </c>
      <c r="H23" s="90" t="s">
        <v>319</v>
      </c>
      <c r="I23" s="91" t="s">
        <v>319</v>
      </c>
      <c r="K23" s="114"/>
    </row>
    <row r="24" spans="1:11" s="1" customFormat="1" x14ac:dyDescent="0.25">
      <c r="A24" s="84" t="s">
        <v>31</v>
      </c>
      <c r="B24" s="85" t="s">
        <v>24</v>
      </c>
      <c r="C24" s="85" t="s">
        <v>25</v>
      </c>
      <c r="D24" s="86" t="s">
        <v>26</v>
      </c>
      <c r="E24" s="87">
        <v>167.83250000000001</v>
      </c>
      <c r="F24" s="90" t="s">
        <v>319</v>
      </c>
      <c r="G24" s="91" t="s">
        <v>319</v>
      </c>
      <c r="H24" s="90" t="s">
        <v>319</v>
      </c>
      <c r="I24" s="91" t="s">
        <v>319</v>
      </c>
      <c r="K24" s="114"/>
    </row>
    <row r="25" spans="1:11" s="1" customFormat="1" x14ac:dyDescent="0.25">
      <c r="A25" s="92"/>
      <c r="B25" s="174" t="s">
        <v>327</v>
      </c>
      <c r="C25" s="175"/>
      <c r="D25" s="93" t="s">
        <v>321</v>
      </c>
      <c r="E25" s="94"/>
      <c r="F25" s="94"/>
      <c r="G25" s="95">
        <f>G23</f>
        <v>27038675.247083999</v>
      </c>
      <c r="H25" s="94"/>
      <c r="I25" s="94" t="s">
        <v>319</v>
      </c>
      <c r="K25" s="114"/>
    </row>
    <row r="26" spans="1:11" s="1" customFormat="1" x14ac:dyDescent="0.25">
      <c r="A26" s="155"/>
      <c r="B26" s="156"/>
      <c r="C26" s="156"/>
      <c r="D26" s="156"/>
      <c r="E26" s="156"/>
      <c r="F26" s="156"/>
      <c r="G26" s="156"/>
      <c r="H26" s="156"/>
      <c r="I26" s="157"/>
      <c r="K26" s="114"/>
    </row>
    <row r="27" spans="1:11" s="1" customFormat="1" x14ac:dyDescent="0.25">
      <c r="A27" s="77"/>
      <c r="B27" s="78"/>
      <c r="C27" s="79" t="s">
        <v>292</v>
      </c>
      <c r="D27" s="80"/>
      <c r="E27" s="81"/>
      <c r="F27" s="81"/>
      <c r="G27" s="82"/>
      <c r="H27" s="81"/>
      <c r="I27" s="83"/>
      <c r="K27" s="114"/>
    </row>
    <row r="28" spans="1:11" s="1" customFormat="1" x14ac:dyDescent="0.25">
      <c r="A28" s="84" t="s">
        <v>24</v>
      </c>
      <c r="B28" s="85" t="s">
        <v>187</v>
      </c>
      <c r="C28" s="85" t="s">
        <v>188</v>
      </c>
      <c r="D28" s="86" t="s">
        <v>30</v>
      </c>
      <c r="E28" s="87">
        <v>6.4000000000000001E-2</v>
      </c>
      <c r="F28" s="96">
        <v>148613</v>
      </c>
      <c r="G28" s="89">
        <f>E28*F28</f>
        <v>9511.232</v>
      </c>
      <c r="H28" s="90" t="s">
        <v>319</v>
      </c>
      <c r="I28" s="91" t="s">
        <v>319</v>
      </c>
      <c r="K28" s="114"/>
    </row>
    <row r="29" spans="1:11" s="1" customFormat="1" ht="36" x14ac:dyDescent="0.25">
      <c r="A29" s="84" t="s">
        <v>42</v>
      </c>
      <c r="B29" s="85" t="s">
        <v>454</v>
      </c>
      <c r="C29" s="85" t="s">
        <v>455</v>
      </c>
      <c r="D29" s="86" t="s">
        <v>30</v>
      </c>
      <c r="E29" s="87">
        <v>9.4500000000000001E-2</v>
      </c>
      <c r="F29" s="96">
        <v>45322</v>
      </c>
      <c r="G29" s="89">
        <f t="shared" ref="G29:G45" si="0">E29*F29</f>
        <v>4282.9290000000001</v>
      </c>
      <c r="H29" s="90" t="s">
        <v>319</v>
      </c>
      <c r="I29" s="91" t="s">
        <v>319</v>
      </c>
      <c r="K29" s="114"/>
    </row>
    <row r="30" spans="1:11" s="1" customFormat="1" ht="36" x14ac:dyDescent="0.25">
      <c r="A30" s="84" t="s">
        <v>50</v>
      </c>
      <c r="B30" s="85" t="s">
        <v>93</v>
      </c>
      <c r="C30" s="85" t="s">
        <v>94</v>
      </c>
      <c r="D30" s="86" t="s">
        <v>30</v>
      </c>
      <c r="E30" s="87">
        <v>4.9493</v>
      </c>
      <c r="F30" s="96">
        <v>153724</v>
      </c>
      <c r="G30" s="89">
        <f t="shared" si="0"/>
        <v>760826.19319999998</v>
      </c>
      <c r="H30" s="90" t="s">
        <v>319</v>
      </c>
      <c r="I30" s="91" t="s">
        <v>319</v>
      </c>
      <c r="K30" s="114"/>
    </row>
    <row r="31" spans="1:11" s="1" customFormat="1" ht="24" x14ac:dyDescent="0.25">
      <c r="A31" s="84" t="s">
        <v>58</v>
      </c>
      <c r="B31" s="85" t="s">
        <v>143</v>
      </c>
      <c r="C31" s="85" t="s">
        <v>144</v>
      </c>
      <c r="D31" s="86" t="s">
        <v>30</v>
      </c>
      <c r="E31" s="87">
        <v>52.183799999999998</v>
      </c>
      <c r="F31" s="96">
        <v>244250</v>
      </c>
      <c r="G31" s="89">
        <f t="shared" si="0"/>
        <v>12745893.15</v>
      </c>
      <c r="H31" s="90" t="s">
        <v>319</v>
      </c>
      <c r="I31" s="91" t="s">
        <v>319</v>
      </c>
      <c r="K31" s="114"/>
    </row>
    <row r="32" spans="1:11" s="1" customFormat="1" ht="24" x14ac:dyDescent="0.25">
      <c r="A32" s="84" t="s">
        <v>66</v>
      </c>
      <c r="B32" s="85" t="s">
        <v>582</v>
      </c>
      <c r="C32" s="85" t="s">
        <v>583</v>
      </c>
      <c r="D32" s="86" t="s">
        <v>30</v>
      </c>
      <c r="E32" s="87">
        <v>105.1673</v>
      </c>
      <c r="F32" s="96">
        <v>241677</v>
      </c>
      <c r="G32" s="89">
        <f t="shared" si="0"/>
        <v>25416517.562100001</v>
      </c>
      <c r="H32" s="90" t="s">
        <v>319</v>
      </c>
      <c r="I32" s="91" t="s">
        <v>319</v>
      </c>
      <c r="K32" s="114"/>
    </row>
    <row r="33" spans="1:11" s="1" customFormat="1" ht="24" x14ac:dyDescent="0.25">
      <c r="A33" s="84" t="s">
        <v>77</v>
      </c>
      <c r="B33" s="85" t="s">
        <v>146</v>
      </c>
      <c r="C33" s="85" t="s">
        <v>147</v>
      </c>
      <c r="D33" s="86" t="s">
        <v>30</v>
      </c>
      <c r="E33" s="87">
        <v>0.42182999999999998</v>
      </c>
      <c r="F33" s="96">
        <v>241677</v>
      </c>
      <c r="G33" s="89">
        <f t="shared" si="0"/>
        <v>101946.60891</v>
      </c>
      <c r="H33" s="90" t="s">
        <v>319</v>
      </c>
      <c r="I33" s="91" t="s">
        <v>319</v>
      </c>
      <c r="K33" s="114"/>
    </row>
    <row r="34" spans="1:11" s="1" customFormat="1" ht="24" x14ac:dyDescent="0.25">
      <c r="A34" s="84" t="s">
        <v>84</v>
      </c>
      <c r="B34" s="85" t="s">
        <v>649</v>
      </c>
      <c r="C34" s="85" t="s">
        <v>650</v>
      </c>
      <c r="D34" s="86" t="s">
        <v>30</v>
      </c>
      <c r="E34" s="87">
        <v>6.4000000000000001E-2</v>
      </c>
      <c r="F34" s="96">
        <v>1849</v>
      </c>
      <c r="G34" s="89">
        <f t="shared" si="0"/>
        <v>118.336</v>
      </c>
      <c r="H34" s="90" t="s">
        <v>319</v>
      </c>
      <c r="I34" s="91" t="s">
        <v>319</v>
      </c>
      <c r="K34" s="114"/>
    </row>
    <row r="35" spans="1:11" s="1" customFormat="1" x14ac:dyDescent="0.25">
      <c r="A35" s="84" t="s">
        <v>87</v>
      </c>
      <c r="B35" s="85" t="s">
        <v>585</v>
      </c>
      <c r="C35" s="85" t="s">
        <v>586</v>
      </c>
      <c r="D35" s="86" t="s">
        <v>30</v>
      </c>
      <c r="E35" s="87">
        <v>3.8643000000000001</v>
      </c>
      <c r="F35" s="96">
        <v>2033</v>
      </c>
      <c r="G35" s="89">
        <f t="shared" si="0"/>
        <v>7856.1219000000001</v>
      </c>
      <c r="H35" s="90" t="s">
        <v>319</v>
      </c>
      <c r="I35" s="91" t="s">
        <v>319</v>
      </c>
      <c r="K35" s="114"/>
    </row>
    <row r="36" spans="1:11" s="1" customFormat="1" ht="36" x14ac:dyDescent="0.25">
      <c r="A36" s="84" t="s">
        <v>98</v>
      </c>
      <c r="B36" s="85" t="s">
        <v>386</v>
      </c>
      <c r="C36" s="85" t="s">
        <v>387</v>
      </c>
      <c r="D36" s="86" t="s">
        <v>30</v>
      </c>
      <c r="E36" s="87">
        <v>1.3225</v>
      </c>
      <c r="F36" s="96">
        <v>3477</v>
      </c>
      <c r="G36" s="89">
        <f t="shared" si="0"/>
        <v>4598.3325000000004</v>
      </c>
      <c r="H36" s="90" t="s">
        <v>319</v>
      </c>
      <c r="I36" s="91" t="s">
        <v>319</v>
      </c>
      <c r="K36" s="114"/>
    </row>
    <row r="37" spans="1:11" s="1" customFormat="1" x14ac:dyDescent="0.25">
      <c r="A37" s="84" t="s">
        <v>106</v>
      </c>
      <c r="B37" s="85" t="s">
        <v>411</v>
      </c>
      <c r="C37" s="85" t="s">
        <v>412</v>
      </c>
      <c r="D37" s="86" t="s">
        <v>30</v>
      </c>
      <c r="E37" s="87">
        <v>0.47349000000000002</v>
      </c>
      <c r="F37" s="96">
        <v>1592</v>
      </c>
      <c r="G37" s="89">
        <f t="shared" si="0"/>
        <v>753.79608000000007</v>
      </c>
      <c r="H37" s="90" t="s">
        <v>319</v>
      </c>
      <c r="I37" s="91" t="s">
        <v>319</v>
      </c>
      <c r="K37" s="114"/>
    </row>
    <row r="38" spans="1:11" s="1" customFormat="1" ht="24" x14ac:dyDescent="0.25">
      <c r="A38" s="84" t="s">
        <v>114</v>
      </c>
      <c r="B38" s="85" t="s">
        <v>588</v>
      </c>
      <c r="C38" s="85" t="s">
        <v>589</v>
      </c>
      <c r="D38" s="86" t="s">
        <v>30</v>
      </c>
      <c r="E38" s="87">
        <v>11.494999999999999</v>
      </c>
      <c r="F38" s="96">
        <v>19050</v>
      </c>
      <c r="G38" s="89">
        <f t="shared" si="0"/>
        <v>218979.74999999997</v>
      </c>
      <c r="H38" s="90" t="s">
        <v>319</v>
      </c>
      <c r="I38" s="91" t="s">
        <v>319</v>
      </c>
      <c r="K38" s="114"/>
    </row>
    <row r="39" spans="1:11" s="1" customFormat="1" ht="24" x14ac:dyDescent="0.25">
      <c r="A39" s="84" t="s">
        <v>119</v>
      </c>
      <c r="B39" s="85" t="s">
        <v>216</v>
      </c>
      <c r="C39" s="85" t="s">
        <v>217</v>
      </c>
      <c r="D39" s="86" t="s">
        <v>30</v>
      </c>
      <c r="E39" s="87">
        <v>36.148200000000003</v>
      </c>
      <c r="F39" s="96">
        <v>7132</v>
      </c>
      <c r="G39" s="89">
        <f t="shared" si="0"/>
        <v>257808.96240000002</v>
      </c>
      <c r="H39" s="90" t="s">
        <v>319</v>
      </c>
      <c r="I39" s="91" t="s">
        <v>319</v>
      </c>
      <c r="K39" s="114"/>
    </row>
    <row r="40" spans="1:11" s="1" customFormat="1" x14ac:dyDescent="0.25">
      <c r="A40" s="84" t="s">
        <v>123</v>
      </c>
      <c r="B40" s="85" t="s">
        <v>592</v>
      </c>
      <c r="C40" s="85" t="s">
        <v>593</v>
      </c>
      <c r="D40" s="86" t="s">
        <v>30</v>
      </c>
      <c r="E40" s="87">
        <v>0.78264</v>
      </c>
      <c r="F40" s="88">
        <v>8424.9500000000007</v>
      </c>
      <c r="G40" s="89">
        <f t="shared" si="0"/>
        <v>6593.7028680000003</v>
      </c>
      <c r="H40" s="90" t="s">
        <v>319</v>
      </c>
      <c r="I40" s="91" t="s">
        <v>319</v>
      </c>
      <c r="K40" s="114"/>
    </row>
    <row r="41" spans="1:11" s="1" customFormat="1" x14ac:dyDescent="0.25">
      <c r="A41" s="84" t="s">
        <v>128</v>
      </c>
      <c r="B41" s="85" t="s">
        <v>152</v>
      </c>
      <c r="C41" s="85" t="s">
        <v>153</v>
      </c>
      <c r="D41" s="86" t="s">
        <v>30</v>
      </c>
      <c r="E41" s="87">
        <v>0.39944000000000002</v>
      </c>
      <c r="F41" s="96">
        <v>107615</v>
      </c>
      <c r="G41" s="89">
        <f t="shared" si="0"/>
        <v>42985.7356</v>
      </c>
      <c r="H41" s="90" t="s">
        <v>319</v>
      </c>
      <c r="I41" s="91" t="s">
        <v>319</v>
      </c>
      <c r="K41" s="114"/>
    </row>
    <row r="42" spans="1:11" s="1" customFormat="1" x14ac:dyDescent="0.25">
      <c r="A42" s="84" t="s">
        <v>134</v>
      </c>
      <c r="B42" s="85" t="s">
        <v>595</v>
      </c>
      <c r="C42" s="85" t="s">
        <v>596</v>
      </c>
      <c r="D42" s="86" t="s">
        <v>30</v>
      </c>
      <c r="E42" s="87">
        <v>4.6468999999999996</v>
      </c>
      <c r="F42" s="96">
        <v>140208</v>
      </c>
      <c r="G42" s="89">
        <f t="shared" si="0"/>
        <v>651532.55519999994</v>
      </c>
      <c r="H42" s="90" t="s">
        <v>319</v>
      </c>
      <c r="I42" s="91" t="s">
        <v>319</v>
      </c>
      <c r="K42" s="114"/>
    </row>
    <row r="43" spans="1:11" s="1" customFormat="1" ht="36" x14ac:dyDescent="0.25">
      <c r="A43" s="84" t="s">
        <v>170</v>
      </c>
      <c r="B43" s="85" t="s">
        <v>667</v>
      </c>
      <c r="C43" s="85" t="s">
        <v>668</v>
      </c>
      <c r="D43" s="86" t="s">
        <v>30</v>
      </c>
      <c r="E43" s="87">
        <v>4.3920000000000003</v>
      </c>
      <c r="F43" s="96">
        <v>6453</v>
      </c>
      <c r="G43" s="89">
        <f t="shared" si="0"/>
        <v>28341.576000000001</v>
      </c>
      <c r="H43" s="90" t="s">
        <v>319</v>
      </c>
      <c r="I43" s="91" t="s">
        <v>319</v>
      </c>
      <c r="K43" s="114"/>
    </row>
    <row r="44" spans="1:11" s="1" customFormat="1" x14ac:dyDescent="0.25">
      <c r="A44" s="84" t="s">
        <v>177</v>
      </c>
      <c r="B44" s="85" t="s">
        <v>598</v>
      </c>
      <c r="C44" s="85" t="s">
        <v>599</v>
      </c>
      <c r="D44" s="86" t="s">
        <v>30</v>
      </c>
      <c r="E44" s="87">
        <v>4.1577999999999999</v>
      </c>
      <c r="F44" s="96">
        <v>1634</v>
      </c>
      <c r="G44" s="89">
        <f t="shared" si="0"/>
        <v>6793.8451999999997</v>
      </c>
      <c r="H44" s="90" t="s">
        <v>319</v>
      </c>
      <c r="I44" s="91" t="s">
        <v>319</v>
      </c>
      <c r="K44" s="114"/>
    </row>
    <row r="45" spans="1:11" s="1" customFormat="1" x14ac:dyDescent="0.25">
      <c r="A45" s="84" t="s">
        <v>180</v>
      </c>
      <c r="B45" s="85" t="s">
        <v>642</v>
      </c>
      <c r="C45" s="85" t="s">
        <v>643</v>
      </c>
      <c r="D45" s="86" t="s">
        <v>30</v>
      </c>
      <c r="E45" s="89">
        <v>8</v>
      </c>
      <c r="F45" s="88">
        <v>10309.01</v>
      </c>
      <c r="G45" s="89">
        <f t="shared" si="0"/>
        <v>82472.08</v>
      </c>
      <c r="H45" s="90" t="s">
        <v>319</v>
      </c>
      <c r="I45" s="91" t="s">
        <v>319</v>
      </c>
      <c r="K45" s="114"/>
    </row>
    <row r="46" spans="1:11" s="1" customFormat="1" x14ac:dyDescent="0.25">
      <c r="A46" s="92"/>
      <c r="B46" s="174" t="s">
        <v>328</v>
      </c>
      <c r="C46" s="175"/>
      <c r="D46" s="93" t="s">
        <v>321</v>
      </c>
      <c r="E46" s="94"/>
      <c r="F46" s="94"/>
      <c r="G46" s="95">
        <f>SUM(G28:G45)</f>
        <v>40347812.468958013</v>
      </c>
      <c r="H46" s="94"/>
      <c r="I46" s="94" t="s">
        <v>319</v>
      </c>
      <c r="K46" s="114"/>
    </row>
    <row r="47" spans="1:11" s="1" customFormat="1" x14ac:dyDescent="0.25">
      <c r="A47" s="92"/>
      <c r="B47" s="174" t="s">
        <v>329</v>
      </c>
      <c r="C47" s="175"/>
      <c r="D47" s="93" t="s">
        <v>321</v>
      </c>
      <c r="E47" s="94"/>
      <c r="F47" s="94"/>
      <c r="G47" s="95" t="s">
        <v>319</v>
      </c>
      <c r="H47" s="94"/>
      <c r="I47" s="94" t="s">
        <v>319</v>
      </c>
      <c r="K47" s="114"/>
    </row>
    <row r="48" spans="1:11" s="1" customFormat="1" x14ac:dyDescent="0.25">
      <c r="A48" s="155"/>
      <c r="B48" s="156"/>
      <c r="C48" s="156"/>
      <c r="D48" s="156"/>
      <c r="E48" s="156"/>
      <c r="F48" s="156"/>
      <c r="G48" s="156"/>
      <c r="H48" s="156"/>
      <c r="I48" s="157"/>
      <c r="K48" s="114"/>
    </row>
    <row r="49" spans="1:11" s="1" customFormat="1" x14ac:dyDescent="0.25">
      <c r="A49" s="77"/>
      <c r="B49" s="78"/>
      <c r="C49" s="79" t="s">
        <v>293</v>
      </c>
      <c r="D49" s="80"/>
      <c r="E49" s="81"/>
      <c r="F49" s="81"/>
      <c r="G49" s="82"/>
      <c r="H49" s="81"/>
      <c r="I49" s="83"/>
      <c r="K49" s="130"/>
    </row>
    <row r="50" spans="1:11" s="1" customFormat="1" x14ac:dyDescent="0.25">
      <c r="A50" s="84" t="s">
        <v>183</v>
      </c>
      <c r="B50" s="85" t="s">
        <v>936</v>
      </c>
      <c r="C50" s="85" t="s">
        <v>937</v>
      </c>
      <c r="D50" s="86" t="s">
        <v>76</v>
      </c>
      <c r="E50" s="87">
        <v>0.91349999999999998</v>
      </c>
      <c r="F50" s="127">
        <v>530302</v>
      </c>
      <c r="G50" s="89">
        <f t="shared" ref="G50:G77" si="1">E50*F50</f>
        <v>484430.87699999998</v>
      </c>
      <c r="H50" s="90" t="s">
        <v>319</v>
      </c>
      <c r="I50" s="91" t="s">
        <v>319</v>
      </c>
      <c r="K50" s="114"/>
    </row>
    <row r="51" spans="1:11" s="1" customFormat="1" ht="24" x14ac:dyDescent="0.25">
      <c r="A51" s="84" t="s">
        <v>211</v>
      </c>
      <c r="B51" s="85" t="s">
        <v>394</v>
      </c>
      <c r="C51" s="85" t="s">
        <v>395</v>
      </c>
      <c r="D51" s="86" t="s">
        <v>76</v>
      </c>
      <c r="E51" s="87">
        <v>5.1299999999999998E-2</v>
      </c>
      <c r="F51" s="127">
        <v>416964</v>
      </c>
      <c r="G51" s="89">
        <f t="shared" si="1"/>
        <v>21390.253199999999</v>
      </c>
      <c r="H51" s="90" t="s">
        <v>319</v>
      </c>
      <c r="I51" s="91" t="s">
        <v>319</v>
      </c>
      <c r="K51" s="114"/>
    </row>
    <row r="52" spans="1:11" s="1" customFormat="1" x14ac:dyDescent="0.25">
      <c r="A52" s="84" t="s">
        <v>222</v>
      </c>
      <c r="B52" s="85" t="s">
        <v>235</v>
      </c>
      <c r="C52" s="85" t="s">
        <v>159</v>
      </c>
      <c r="D52" s="86" t="s">
        <v>76</v>
      </c>
      <c r="E52" s="87">
        <v>1.575</v>
      </c>
      <c r="F52" s="127">
        <v>1000</v>
      </c>
      <c r="G52" s="89">
        <f t="shared" si="1"/>
        <v>1575</v>
      </c>
      <c r="H52" s="90" t="s">
        <v>319</v>
      </c>
      <c r="I52" s="91" t="s">
        <v>319</v>
      </c>
      <c r="K52" s="114"/>
    </row>
    <row r="53" spans="1:11" s="1" customFormat="1" ht="24" x14ac:dyDescent="0.25">
      <c r="A53" s="84" t="s">
        <v>223</v>
      </c>
      <c r="B53" s="85" t="s">
        <v>601</v>
      </c>
      <c r="C53" s="85" t="s">
        <v>602</v>
      </c>
      <c r="D53" s="86" t="s">
        <v>61</v>
      </c>
      <c r="E53" s="87">
        <v>1.3576E-3</v>
      </c>
      <c r="F53" s="127">
        <v>4200000</v>
      </c>
      <c r="G53" s="89">
        <f t="shared" si="1"/>
        <v>5701.92</v>
      </c>
      <c r="H53" s="90" t="s">
        <v>319</v>
      </c>
      <c r="I53" s="91" t="s">
        <v>319</v>
      </c>
      <c r="K53" s="114"/>
    </row>
    <row r="54" spans="1:11" s="1" customFormat="1" x14ac:dyDescent="0.25">
      <c r="A54" s="84" t="s">
        <v>226</v>
      </c>
      <c r="B54" s="85" t="s">
        <v>604</v>
      </c>
      <c r="C54" s="85" t="s">
        <v>605</v>
      </c>
      <c r="D54" s="86" t="s">
        <v>166</v>
      </c>
      <c r="E54" s="87">
        <v>0.22625999999999999</v>
      </c>
      <c r="F54" s="127">
        <v>30000</v>
      </c>
      <c r="G54" s="89">
        <f t="shared" si="1"/>
        <v>6787.7999999999993</v>
      </c>
      <c r="H54" s="90" t="s">
        <v>319</v>
      </c>
      <c r="I54" s="91" t="s">
        <v>319</v>
      </c>
      <c r="K54" s="114"/>
    </row>
    <row r="55" spans="1:11" s="1" customFormat="1" x14ac:dyDescent="0.25">
      <c r="A55" s="84" t="s">
        <v>238</v>
      </c>
      <c r="B55" s="85" t="s">
        <v>161</v>
      </c>
      <c r="C55" s="85" t="s">
        <v>162</v>
      </c>
      <c r="D55" s="86" t="s">
        <v>61</v>
      </c>
      <c r="E55" s="87">
        <v>4.6800000000000001E-3</v>
      </c>
      <c r="F55" s="127">
        <v>9652145</v>
      </c>
      <c r="G55" s="89">
        <f t="shared" si="1"/>
        <v>45172.0386</v>
      </c>
      <c r="H55" s="90" t="s">
        <v>319</v>
      </c>
      <c r="I55" s="91" t="s">
        <v>319</v>
      </c>
      <c r="K55" s="114"/>
    </row>
    <row r="56" spans="1:11" s="1" customFormat="1" x14ac:dyDescent="0.25">
      <c r="A56" s="84" t="s">
        <v>247</v>
      </c>
      <c r="B56" s="85" t="s">
        <v>670</v>
      </c>
      <c r="C56" s="85" t="s">
        <v>671</v>
      </c>
      <c r="D56" s="86" t="s">
        <v>61</v>
      </c>
      <c r="E56" s="87">
        <v>2.5440000000000001E-2</v>
      </c>
      <c r="F56" s="127">
        <v>14375000</v>
      </c>
      <c r="G56" s="89">
        <f t="shared" si="1"/>
        <v>365700</v>
      </c>
      <c r="H56" s="90" t="s">
        <v>319</v>
      </c>
      <c r="I56" s="91" t="s">
        <v>319</v>
      </c>
      <c r="K56" s="114"/>
    </row>
    <row r="57" spans="1:11" s="1" customFormat="1" ht="24" x14ac:dyDescent="0.25">
      <c r="A57" s="84" t="s">
        <v>249</v>
      </c>
      <c r="B57" s="85" t="s">
        <v>607</v>
      </c>
      <c r="C57" s="85" t="s">
        <v>608</v>
      </c>
      <c r="D57" s="86" t="s">
        <v>61</v>
      </c>
      <c r="E57" s="87">
        <v>3.7700000000000002E-5</v>
      </c>
      <c r="F57" s="127">
        <v>21572000</v>
      </c>
      <c r="G57" s="89">
        <f t="shared" si="1"/>
        <v>813.26440000000002</v>
      </c>
      <c r="H57" s="90" t="s">
        <v>319</v>
      </c>
      <c r="I57" s="91" t="s">
        <v>319</v>
      </c>
      <c r="K57" s="114"/>
    </row>
    <row r="58" spans="1:11" s="1" customFormat="1" x14ac:dyDescent="0.25">
      <c r="A58" s="84" t="s">
        <v>257</v>
      </c>
      <c r="B58" s="85" t="s">
        <v>673</v>
      </c>
      <c r="C58" s="85" t="s">
        <v>674</v>
      </c>
      <c r="D58" s="86" t="s">
        <v>61</v>
      </c>
      <c r="E58" s="87">
        <v>4.48E-2</v>
      </c>
      <c r="F58" s="127">
        <v>32411000</v>
      </c>
      <c r="G58" s="89">
        <f t="shared" si="1"/>
        <v>1452012.8</v>
      </c>
      <c r="H58" s="90" t="s">
        <v>319</v>
      </c>
      <c r="I58" s="91" t="s">
        <v>319</v>
      </c>
      <c r="K58" s="114"/>
    </row>
    <row r="59" spans="1:11" s="1" customFormat="1" x14ac:dyDescent="0.25">
      <c r="A59" s="84" t="s">
        <v>259</v>
      </c>
      <c r="B59" s="85" t="s">
        <v>610</v>
      </c>
      <c r="C59" s="85" t="s">
        <v>611</v>
      </c>
      <c r="D59" s="86" t="s">
        <v>166</v>
      </c>
      <c r="E59" s="87">
        <v>0.30168</v>
      </c>
      <c r="F59" s="127">
        <v>1240</v>
      </c>
      <c r="G59" s="89">
        <f t="shared" si="1"/>
        <v>374.08319999999998</v>
      </c>
      <c r="H59" s="90" t="s">
        <v>319</v>
      </c>
      <c r="I59" s="91" t="s">
        <v>319</v>
      </c>
      <c r="K59" s="114"/>
    </row>
    <row r="60" spans="1:11" s="1" customFormat="1" x14ac:dyDescent="0.25">
      <c r="A60" s="84" t="s">
        <v>263</v>
      </c>
      <c r="B60" s="85" t="s">
        <v>684</v>
      </c>
      <c r="C60" s="85" t="s">
        <v>685</v>
      </c>
      <c r="D60" s="86" t="s">
        <v>61</v>
      </c>
      <c r="E60" s="87">
        <v>7.5999999999999998E-2</v>
      </c>
      <c r="F60" s="127">
        <v>28000000</v>
      </c>
      <c r="G60" s="89">
        <f t="shared" si="1"/>
        <v>2128000</v>
      </c>
      <c r="H60" s="90" t="s">
        <v>319</v>
      </c>
      <c r="I60" s="91" t="s">
        <v>319</v>
      </c>
      <c r="K60" s="114"/>
    </row>
    <row r="61" spans="1:11" s="1" customFormat="1" x14ac:dyDescent="0.25">
      <c r="A61" s="84" t="s">
        <v>266</v>
      </c>
      <c r="B61" s="85" t="s">
        <v>399</v>
      </c>
      <c r="C61" s="85" t="s">
        <v>400</v>
      </c>
      <c r="D61" s="86" t="s">
        <v>61</v>
      </c>
      <c r="E61" s="87">
        <v>5.8500000000000002E-4</v>
      </c>
      <c r="F61" s="127">
        <v>9108927</v>
      </c>
      <c r="G61" s="89">
        <f t="shared" si="1"/>
        <v>5328.7222950000005</v>
      </c>
      <c r="H61" s="90" t="s">
        <v>319</v>
      </c>
      <c r="I61" s="91" t="s">
        <v>319</v>
      </c>
      <c r="K61" s="114"/>
    </row>
    <row r="62" spans="1:11" s="1" customFormat="1" x14ac:dyDescent="0.25">
      <c r="A62" s="84" t="s">
        <v>276</v>
      </c>
      <c r="B62" s="85" t="s">
        <v>459</v>
      </c>
      <c r="C62" s="85" t="s">
        <v>460</v>
      </c>
      <c r="D62" s="86" t="s">
        <v>61</v>
      </c>
      <c r="E62" s="87">
        <v>2.8350000000000001E-4</v>
      </c>
      <c r="F62" s="127">
        <v>9097429</v>
      </c>
      <c r="G62" s="89">
        <f t="shared" si="1"/>
        <v>2579.1211214999998</v>
      </c>
      <c r="H62" s="90" t="s">
        <v>319</v>
      </c>
      <c r="I62" s="91" t="s">
        <v>319</v>
      </c>
      <c r="K62" s="114"/>
    </row>
    <row r="63" spans="1:11" s="1" customFormat="1" ht="48" x14ac:dyDescent="0.25">
      <c r="A63" s="84" t="s">
        <v>280</v>
      </c>
      <c r="B63" s="85" t="s">
        <v>613</v>
      </c>
      <c r="C63" s="85" t="s">
        <v>614</v>
      </c>
      <c r="D63" s="86" t="s">
        <v>61</v>
      </c>
      <c r="E63" s="87">
        <v>4.9023000000000001E-3</v>
      </c>
      <c r="F63" s="129">
        <v>11785714.289999999</v>
      </c>
      <c r="G63" s="89">
        <f t="shared" si="1"/>
        <v>57777.107163866996</v>
      </c>
      <c r="H63" s="90" t="s">
        <v>319</v>
      </c>
      <c r="I63" s="91" t="s">
        <v>319</v>
      </c>
      <c r="K63" s="114"/>
    </row>
    <row r="64" spans="1:11" s="1" customFormat="1" x14ac:dyDescent="0.25">
      <c r="A64" s="84" t="s">
        <v>284</v>
      </c>
      <c r="B64" s="85" t="s">
        <v>653</v>
      </c>
      <c r="C64" s="85" t="s">
        <v>654</v>
      </c>
      <c r="D64" s="86" t="s">
        <v>61</v>
      </c>
      <c r="E64" s="87">
        <v>2.5600000000000001E-2</v>
      </c>
      <c r="F64" s="127">
        <v>43750000</v>
      </c>
      <c r="G64" s="89">
        <f t="shared" si="1"/>
        <v>1120000</v>
      </c>
      <c r="H64" s="90" t="s">
        <v>319</v>
      </c>
      <c r="I64" s="91" t="s">
        <v>319</v>
      </c>
      <c r="K64" s="114"/>
    </row>
    <row r="65" spans="1:11" s="1" customFormat="1" x14ac:dyDescent="0.25">
      <c r="A65" s="84" t="s">
        <v>294</v>
      </c>
      <c r="B65" s="85" t="s">
        <v>616</v>
      </c>
      <c r="C65" s="85" t="s">
        <v>617</v>
      </c>
      <c r="D65" s="86" t="s">
        <v>76</v>
      </c>
      <c r="E65" s="87">
        <v>2.3003</v>
      </c>
      <c r="F65" s="127">
        <v>4210</v>
      </c>
      <c r="G65" s="89">
        <f t="shared" si="1"/>
        <v>9684.2630000000008</v>
      </c>
      <c r="H65" s="90" t="s">
        <v>319</v>
      </c>
      <c r="I65" s="91" t="s">
        <v>319</v>
      </c>
      <c r="K65" s="114"/>
    </row>
    <row r="66" spans="1:11" s="1" customFormat="1" ht="24" x14ac:dyDescent="0.25">
      <c r="A66" s="84" t="s">
        <v>295</v>
      </c>
      <c r="B66" s="85" t="s">
        <v>619</v>
      </c>
      <c r="C66" s="85" t="s">
        <v>620</v>
      </c>
      <c r="D66" s="86" t="s">
        <v>61</v>
      </c>
      <c r="E66" s="87">
        <v>3.7700000000000002E-5</v>
      </c>
      <c r="F66" s="127">
        <v>9000000</v>
      </c>
      <c r="G66" s="89">
        <f t="shared" si="1"/>
        <v>339.3</v>
      </c>
      <c r="H66" s="90" t="s">
        <v>319</v>
      </c>
      <c r="I66" s="91" t="s">
        <v>319</v>
      </c>
      <c r="K66" s="114"/>
    </row>
    <row r="67" spans="1:11" s="1" customFormat="1" x14ac:dyDescent="0.25">
      <c r="A67" s="84" t="s">
        <v>296</v>
      </c>
      <c r="B67" s="85" t="s">
        <v>220</v>
      </c>
      <c r="C67" s="85" t="s">
        <v>221</v>
      </c>
      <c r="D67" s="86" t="s">
        <v>61</v>
      </c>
      <c r="E67" s="87">
        <v>6.3E-5</v>
      </c>
      <c r="F67" s="127">
        <v>11250000</v>
      </c>
      <c r="G67" s="89">
        <f t="shared" si="1"/>
        <v>708.75</v>
      </c>
      <c r="H67" s="90" t="s">
        <v>319</v>
      </c>
      <c r="I67" s="91" t="s">
        <v>319</v>
      </c>
      <c r="K67" s="114"/>
    </row>
    <row r="68" spans="1:11" s="1" customFormat="1" x14ac:dyDescent="0.25">
      <c r="A68" s="84" t="s">
        <v>297</v>
      </c>
      <c r="B68" s="85" t="s">
        <v>622</v>
      </c>
      <c r="C68" s="85" t="s">
        <v>623</v>
      </c>
      <c r="D68" s="86" t="s">
        <v>61</v>
      </c>
      <c r="E68" s="87">
        <v>2.1494699999999999E-2</v>
      </c>
      <c r="F68" s="127">
        <v>11250000</v>
      </c>
      <c r="G68" s="89">
        <f t="shared" si="1"/>
        <v>241815.37499999997</v>
      </c>
      <c r="H68" s="90" t="s">
        <v>319</v>
      </c>
      <c r="I68" s="91" t="s">
        <v>319</v>
      </c>
      <c r="K68" s="114"/>
    </row>
    <row r="69" spans="1:11" s="1" customFormat="1" ht="36" x14ac:dyDescent="0.25">
      <c r="A69" s="84" t="s">
        <v>298</v>
      </c>
      <c r="B69" s="85" t="s">
        <v>427</v>
      </c>
      <c r="C69" s="85" t="s">
        <v>428</v>
      </c>
      <c r="D69" s="86" t="s">
        <v>76</v>
      </c>
      <c r="E69" s="87">
        <v>2.7539999999999999E-2</v>
      </c>
      <c r="F69" s="118">
        <v>3660714</v>
      </c>
      <c r="G69" s="89">
        <f t="shared" si="1"/>
        <v>100816.06356</v>
      </c>
      <c r="H69" s="90" t="s">
        <v>319</v>
      </c>
      <c r="I69" s="91" t="s">
        <v>319</v>
      </c>
      <c r="K69" s="114"/>
    </row>
    <row r="70" spans="1:11" s="1" customFormat="1" ht="36" x14ac:dyDescent="0.25">
      <c r="A70" s="84" t="s">
        <v>299</v>
      </c>
      <c r="B70" s="85" t="s">
        <v>203</v>
      </c>
      <c r="C70" s="85" t="s">
        <v>204</v>
      </c>
      <c r="D70" s="86" t="s">
        <v>76</v>
      </c>
      <c r="E70" s="87">
        <v>6.4259999999999998E-2</v>
      </c>
      <c r="F70" s="118">
        <v>3660714</v>
      </c>
      <c r="G70" s="89">
        <f t="shared" si="1"/>
        <v>235237.48163999998</v>
      </c>
      <c r="H70" s="90" t="s">
        <v>319</v>
      </c>
      <c r="I70" s="91" t="s">
        <v>319</v>
      </c>
      <c r="K70" s="114"/>
    </row>
    <row r="71" spans="1:11" s="1" customFormat="1" x14ac:dyDescent="0.25">
      <c r="A71" s="84" t="s">
        <v>300</v>
      </c>
      <c r="B71" s="85" t="s">
        <v>625</v>
      </c>
      <c r="C71" s="85" t="s">
        <v>626</v>
      </c>
      <c r="D71" s="86" t="s">
        <v>547</v>
      </c>
      <c r="E71" s="87">
        <v>13.9527</v>
      </c>
      <c r="F71" s="127">
        <v>338877</v>
      </c>
      <c r="G71" s="89">
        <f t="shared" si="1"/>
        <v>4728249.1179</v>
      </c>
      <c r="H71" s="90" t="s">
        <v>319</v>
      </c>
      <c r="I71" s="91" t="s">
        <v>319</v>
      </c>
      <c r="K71" s="114"/>
    </row>
    <row r="72" spans="1:11" s="1" customFormat="1" x14ac:dyDescent="0.25">
      <c r="A72" s="84" t="s">
        <v>301</v>
      </c>
      <c r="B72" s="85" t="s">
        <v>628</v>
      </c>
      <c r="C72" s="85" t="s">
        <v>629</v>
      </c>
      <c r="D72" s="86" t="s">
        <v>166</v>
      </c>
      <c r="E72" s="87">
        <v>0.11312999999999999</v>
      </c>
      <c r="F72" s="127">
        <v>45000</v>
      </c>
      <c r="G72" s="89">
        <f t="shared" si="1"/>
        <v>5090.8499999999995</v>
      </c>
      <c r="H72" s="90" t="s">
        <v>319</v>
      </c>
      <c r="I72" s="91" t="s">
        <v>319</v>
      </c>
      <c r="K72" s="114"/>
    </row>
    <row r="73" spans="1:11" s="1" customFormat="1" x14ac:dyDescent="0.25">
      <c r="A73" s="84" t="s">
        <v>303</v>
      </c>
      <c r="B73" s="85" t="s">
        <v>952</v>
      </c>
      <c r="C73" s="85" t="s">
        <v>953</v>
      </c>
      <c r="D73" s="86" t="s">
        <v>61</v>
      </c>
      <c r="E73" s="87">
        <v>4.4999999999999998E-2</v>
      </c>
      <c r="F73" s="127">
        <v>8214304</v>
      </c>
      <c r="G73" s="89">
        <f t="shared" si="1"/>
        <v>369643.68</v>
      </c>
      <c r="H73" s="90" t="s">
        <v>319</v>
      </c>
      <c r="I73" s="91" t="s">
        <v>319</v>
      </c>
      <c r="K73" s="114"/>
    </row>
    <row r="74" spans="1:11" s="1" customFormat="1" x14ac:dyDescent="0.25">
      <c r="A74" s="84" t="s">
        <v>304</v>
      </c>
      <c r="B74" s="85" t="s">
        <v>656</v>
      </c>
      <c r="C74" s="85" t="s">
        <v>657</v>
      </c>
      <c r="D74" s="86" t="s">
        <v>166</v>
      </c>
      <c r="E74" s="89">
        <v>4</v>
      </c>
      <c r="F74" s="127">
        <v>2500</v>
      </c>
      <c r="G74" s="89">
        <f t="shared" si="1"/>
        <v>10000</v>
      </c>
      <c r="H74" s="90" t="s">
        <v>319</v>
      </c>
      <c r="I74" s="91" t="s">
        <v>319</v>
      </c>
      <c r="K74" s="114"/>
    </row>
    <row r="75" spans="1:11" s="1" customFormat="1" x14ac:dyDescent="0.25">
      <c r="A75" s="84" t="s">
        <v>305</v>
      </c>
      <c r="B75" s="85" t="s">
        <v>375</v>
      </c>
      <c r="C75" s="85" t="s">
        <v>376</v>
      </c>
      <c r="D75" s="86" t="s">
        <v>377</v>
      </c>
      <c r="E75" s="87">
        <v>0.20430000000000001</v>
      </c>
      <c r="F75" s="127">
        <v>105000</v>
      </c>
      <c r="G75" s="89">
        <f t="shared" si="1"/>
        <v>21451.5</v>
      </c>
      <c r="H75" s="90" t="s">
        <v>319</v>
      </c>
      <c r="I75" s="91" t="s">
        <v>319</v>
      </c>
      <c r="K75" s="114"/>
    </row>
    <row r="76" spans="1:11" s="1" customFormat="1" x14ac:dyDescent="0.25">
      <c r="A76" s="84" t="s">
        <v>306</v>
      </c>
      <c r="B76" s="85" t="s">
        <v>631</v>
      </c>
      <c r="C76" s="85" t="s">
        <v>632</v>
      </c>
      <c r="D76" s="86" t="s">
        <v>166</v>
      </c>
      <c r="E76" s="87">
        <v>0.33184799999999998</v>
      </c>
      <c r="F76" s="127">
        <v>6165</v>
      </c>
      <c r="G76" s="89">
        <f t="shared" si="1"/>
        <v>2045.8429199999998</v>
      </c>
      <c r="H76" s="90" t="s">
        <v>319</v>
      </c>
      <c r="I76" s="91" t="s">
        <v>319</v>
      </c>
      <c r="K76" s="114"/>
    </row>
    <row r="77" spans="1:11" s="1" customFormat="1" x14ac:dyDescent="0.25">
      <c r="A77" s="84" t="s">
        <v>307</v>
      </c>
      <c r="B77" s="85" t="s">
        <v>208</v>
      </c>
      <c r="C77" s="85" t="s">
        <v>209</v>
      </c>
      <c r="D77" s="86" t="s">
        <v>210</v>
      </c>
      <c r="E77" s="87">
        <v>2.1347999999999998</v>
      </c>
      <c r="F77" s="118">
        <v>45000</v>
      </c>
      <c r="G77" s="89">
        <f t="shared" si="1"/>
        <v>96065.999999999985</v>
      </c>
      <c r="H77" s="90" t="s">
        <v>319</v>
      </c>
      <c r="I77" s="91" t="s">
        <v>319</v>
      </c>
      <c r="K77" s="114"/>
    </row>
    <row r="78" spans="1:11" s="1" customFormat="1" x14ac:dyDescent="0.25">
      <c r="A78" s="92"/>
      <c r="B78" s="174" t="s">
        <v>330</v>
      </c>
      <c r="C78" s="175"/>
      <c r="D78" s="93" t="s">
        <v>321</v>
      </c>
      <c r="E78" s="94"/>
      <c r="F78" s="94"/>
      <c r="G78" s="95">
        <f>SUM(G50:G77)</f>
        <v>11518791.211000364</v>
      </c>
      <c r="H78" s="94"/>
      <c r="I78" s="94" t="s">
        <v>319</v>
      </c>
      <c r="K78" s="114">
        <f>G78</f>
        <v>11518791.211000364</v>
      </c>
    </row>
    <row r="79" spans="1:11" s="1" customFormat="1" x14ac:dyDescent="0.25">
      <c r="A79" s="155"/>
      <c r="B79" s="156"/>
      <c r="C79" s="156"/>
      <c r="D79" s="156"/>
      <c r="E79" s="156"/>
      <c r="F79" s="156"/>
      <c r="G79" s="156"/>
      <c r="H79" s="156"/>
      <c r="I79" s="157"/>
      <c r="K79" s="114">
        <f>K78-G50-G51-G52</f>
        <v>11011395.080800364</v>
      </c>
    </row>
    <row r="80" spans="1:11" s="1" customFormat="1" x14ac:dyDescent="0.25">
      <c r="A80" s="77"/>
      <c r="B80" s="78"/>
      <c r="C80" s="79" t="s">
        <v>917</v>
      </c>
      <c r="D80" s="80"/>
      <c r="E80" s="81"/>
      <c r="F80" s="81"/>
      <c r="G80" s="82"/>
      <c r="H80" s="81"/>
      <c r="I80" s="83"/>
      <c r="K80" s="114">
        <f>K79*2%</f>
        <v>220227.90161600729</v>
      </c>
    </row>
    <row r="81" spans="1:11" s="1" customFormat="1" x14ac:dyDescent="0.25">
      <c r="A81" s="84" t="s">
        <v>308</v>
      </c>
      <c r="B81" s="85"/>
      <c r="C81" s="85" t="s">
        <v>982</v>
      </c>
      <c r="D81" s="86" t="s">
        <v>182</v>
      </c>
      <c r="E81" s="87">
        <v>3.7709999999999999</v>
      </c>
      <c r="F81" s="96">
        <v>25217391</v>
      </c>
      <c r="G81" s="89">
        <f>E81*F81</f>
        <v>95094781.460999995</v>
      </c>
      <c r="H81" s="90" t="s">
        <v>319</v>
      </c>
      <c r="I81" s="91" t="s">
        <v>319</v>
      </c>
      <c r="K81" s="114"/>
    </row>
    <row r="82" spans="1:11" s="1" customFormat="1" x14ac:dyDescent="0.25">
      <c r="A82" s="92"/>
      <c r="B82" s="174" t="s">
        <v>923</v>
      </c>
      <c r="C82" s="175"/>
      <c r="D82" s="93" t="s">
        <v>321</v>
      </c>
      <c r="E82" s="94"/>
      <c r="F82" s="94"/>
      <c r="G82" s="95">
        <f>G81</f>
        <v>95094781.460999995</v>
      </c>
      <c r="H82" s="94"/>
      <c r="I82" s="94" t="s">
        <v>319</v>
      </c>
      <c r="K82" s="114"/>
    </row>
    <row r="83" spans="1:11" s="1" customFormat="1" x14ac:dyDescent="0.25">
      <c r="A83" s="155"/>
      <c r="B83" s="156"/>
      <c r="C83" s="156"/>
      <c r="D83" s="156"/>
      <c r="E83" s="156"/>
      <c r="F83" s="156"/>
      <c r="G83" s="156"/>
      <c r="H83" s="156"/>
      <c r="I83" s="157"/>
      <c r="K83" s="114"/>
    </row>
    <row r="84" spans="1:11" s="1" customFormat="1" x14ac:dyDescent="0.25">
      <c r="A84" s="92"/>
      <c r="B84" s="174" t="s">
        <v>331</v>
      </c>
      <c r="C84" s="175"/>
      <c r="D84" s="93" t="s">
        <v>321</v>
      </c>
      <c r="E84" s="94"/>
      <c r="F84" s="94"/>
      <c r="G84" s="95">
        <f>G25+G46+G78+G82</f>
        <v>174000060.38804239</v>
      </c>
      <c r="H84" s="94"/>
      <c r="I84" s="94" t="s">
        <v>319</v>
      </c>
      <c r="K84" s="114"/>
    </row>
    <row r="85" spans="1:11" s="1" customFormat="1" x14ac:dyDescent="0.25">
      <c r="A85" s="55"/>
      <c r="B85" s="182" t="s">
        <v>332</v>
      </c>
      <c r="C85" s="183"/>
      <c r="D85" s="97" t="s">
        <v>321</v>
      </c>
      <c r="E85" s="60"/>
      <c r="F85" s="60"/>
      <c r="G85" s="98" t="s">
        <v>319</v>
      </c>
      <c r="H85" s="60"/>
      <c r="I85" s="60" t="s">
        <v>319</v>
      </c>
      <c r="K85" s="114"/>
    </row>
    <row r="86" spans="1:11" s="1" customFormat="1" x14ac:dyDescent="0.25">
      <c r="A86" s="92"/>
      <c r="B86" s="174" t="s">
        <v>333</v>
      </c>
      <c r="C86" s="175"/>
      <c r="D86" s="93" t="s">
        <v>321</v>
      </c>
      <c r="E86" s="94"/>
      <c r="F86" s="94"/>
      <c r="G86" s="95">
        <f>G84</f>
        <v>174000060.38804239</v>
      </c>
      <c r="H86" s="94"/>
      <c r="I86" s="94" t="s">
        <v>319</v>
      </c>
      <c r="K86" s="114"/>
    </row>
    <row r="87" spans="1:11" s="1" customFormat="1" x14ac:dyDescent="0.25">
      <c r="A87" s="55"/>
      <c r="B87" s="182" t="s">
        <v>334</v>
      </c>
      <c r="C87" s="183"/>
      <c r="D87" s="97" t="s">
        <v>321</v>
      </c>
      <c r="E87" s="60"/>
      <c r="F87" s="60"/>
      <c r="G87" s="98" t="s">
        <v>319</v>
      </c>
      <c r="H87" s="60"/>
      <c r="I87" s="60" t="s">
        <v>319</v>
      </c>
      <c r="K87" s="114"/>
    </row>
    <row r="88" spans="1:11" s="1" customFormat="1" x14ac:dyDescent="0.25">
      <c r="A88" s="92"/>
      <c r="B88" s="174" t="s">
        <v>335</v>
      </c>
      <c r="C88" s="175"/>
      <c r="D88" s="93" t="s">
        <v>321</v>
      </c>
      <c r="E88" s="94"/>
      <c r="F88" s="94"/>
      <c r="G88" s="113">
        <f>G86</f>
        <v>174000060.38804239</v>
      </c>
      <c r="H88" s="94"/>
      <c r="I88" s="94" t="s">
        <v>319</v>
      </c>
      <c r="K88" s="114">
        <v>174122049.91064239</v>
      </c>
    </row>
    <row r="89" spans="1:11" s="1" customFormat="1" x14ac:dyDescent="0.25">
      <c r="A89" s="155"/>
      <c r="B89" s="156"/>
      <c r="C89" s="156"/>
      <c r="D89" s="156"/>
      <c r="E89" s="156"/>
      <c r="F89" s="156"/>
      <c r="G89" s="156"/>
      <c r="H89" s="156"/>
      <c r="I89" s="157"/>
      <c r="K89" s="114"/>
    </row>
    <row r="90" spans="1:11" s="1" customFormat="1" ht="15.75" customHeight="1" x14ac:dyDescent="0.25">
      <c r="A90" s="184" t="s">
        <v>921</v>
      </c>
      <c r="B90" s="185"/>
      <c r="C90" s="185"/>
      <c r="D90" s="185"/>
      <c r="E90" s="185"/>
      <c r="F90" s="185"/>
      <c r="G90" s="185"/>
      <c r="H90" s="185"/>
      <c r="I90" s="186"/>
      <c r="K90" s="114"/>
    </row>
    <row r="91" spans="1:11" s="1" customFormat="1" x14ac:dyDescent="0.25">
      <c r="A91" s="77"/>
      <c r="B91" s="78"/>
      <c r="C91" s="104" t="s">
        <v>302</v>
      </c>
      <c r="D91" s="80"/>
      <c r="E91" s="81"/>
      <c r="F91" s="81"/>
      <c r="G91" s="82"/>
      <c r="H91" s="81"/>
      <c r="I91" s="83"/>
      <c r="K91" s="114"/>
    </row>
    <row r="92" spans="1:11" s="1" customFormat="1" x14ac:dyDescent="0.25">
      <c r="A92" s="84" t="s">
        <v>19</v>
      </c>
      <c r="B92" s="85"/>
      <c r="C92" s="85" t="s">
        <v>963</v>
      </c>
      <c r="D92" s="86" t="s">
        <v>182</v>
      </c>
      <c r="E92" s="87">
        <v>3.7349999999999999</v>
      </c>
      <c r="F92" s="90" t="s">
        <v>319</v>
      </c>
      <c r="G92" s="91" t="s">
        <v>319</v>
      </c>
      <c r="H92" s="90" t="s">
        <v>319</v>
      </c>
      <c r="I92" s="91" t="s">
        <v>319</v>
      </c>
      <c r="K92" s="114"/>
    </row>
    <row r="93" spans="1:11" s="1" customFormat="1" x14ac:dyDescent="0.25">
      <c r="A93" s="105"/>
      <c r="B93" s="190" t="s">
        <v>330</v>
      </c>
      <c r="C93" s="191"/>
      <c r="D93" s="106" t="s">
        <v>321</v>
      </c>
      <c r="E93" s="107"/>
      <c r="F93" s="107"/>
      <c r="G93" s="108" t="s">
        <v>319</v>
      </c>
      <c r="H93" s="107"/>
      <c r="I93" s="107" t="s">
        <v>319</v>
      </c>
      <c r="K93" s="114"/>
    </row>
    <row r="94" spans="1:11" s="1" customFormat="1" x14ac:dyDescent="0.25">
      <c r="A94" s="155"/>
      <c r="B94" s="156"/>
      <c r="C94" s="156"/>
      <c r="D94" s="156"/>
      <c r="E94" s="156"/>
      <c r="F94" s="156"/>
      <c r="G94" s="156"/>
      <c r="H94" s="156"/>
      <c r="I94" s="157"/>
      <c r="K94" s="114"/>
    </row>
    <row r="95" spans="1:11" s="1" customFormat="1" x14ac:dyDescent="0.25">
      <c r="A95" s="109"/>
      <c r="B95" s="192" t="s">
        <v>924</v>
      </c>
      <c r="C95" s="193"/>
      <c r="D95" s="110" t="s">
        <v>321</v>
      </c>
      <c r="E95" s="111"/>
      <c r="F95" s="111"/>
      <c r="G95" s="112" t="s">
        <v>319</v>
      </c>
      <c r="H95" s="111"/>
      <c r="I95" s="111" t="s">
        <v>319</v>
      </c>
      <c r="K95" s="114"/>
    </row>
    <row r="96" spans="1:11" s="1" customFormat="1" x14ac:dyDescent="0.25">
      <c r="A96" s="158"/>
      <c r="B96" s="158"/>
      <c r="C96" s="158"/>
      <c r="D96" s="158"/>
      <c r="E96" s="158"/>
      <c r="F96" s="158"/>
      <c r="G96" s="158"/>
      <c r="H96" s="158"/>
      <c r="I96" s="158"/>
      <c r="K96" s="114"/>
    </row>
    <row r="97" spans="1:11" s="1" customFormat="1" x14ac:dyDescent="0.25">
      <c r="A97" s="66"/>
      <c r="B97" s="143" t="s">
        <v>310</v>
      </c>
      <c r="C97" s="143"/>
      <c r="D97" s="143"/>
      <c r="E97" s="143" t="s">
        <v>983</v>
      </c>
      <c r="F97" s="143"/>
      <c r="G97" s="143"/>
      <c r="H97" s="143"/>
      <c r="I97" s="143"/>
      <c r="K97" s="114"/>
    </row>
  </sheetData>
  <mergeCells count="45">
    <mergeCell ref="B2:H2"/>
    <mergeCell ref="B3:H3"/>
    <mergeCell ref="E5:H5"/>
    <mergeCell ref="B6:H6"/>
    <mergeCell ref="F7:G7"/>
    <mergeCell ref="H7:I7"/>
    <mergeCell ref="B8:H8"/>
    <mergeCell ref="B9:H9"/>
    <mergeCell ref="C11:I11"/>
    <mergeCell ref="F12:G12"/>
    <mergeCell ref="H12:I12"/>
    <mergeCell ref="A13:C13"/>
    <mergeCell ref="A15:H15"/>
    <mergeCell ref="A16:A18"/>
    <mergeCell ref="B16:B18"/>
    <mergeCell ref="C16:C18"/>
    <mergeCell ref="D16:D18"/>
    <mergeCell ref="E16:E18"/>
    <mergeCell ref="F16:I16"/>
    <mergeCell ref="F17:G17"/>
    <mergeCell ref="H17:I17"/>
    <mergeCell ref="A20:I20"/>
    <mergeCell ref="A21:I21"/>
    <mergeCell ref="B25:C25"/>
    <mergeCell ref="A26:I26"/>
    <mergeCell ref="B46:C46"/>
    <mergeCell ref="B47:C47"/>
    <mergeCell ref="A48:I48"/>
    <mergeCell ref="B78:C78"/>
    <mergeCell ref="A79:I79"/>
    <mergeCell ref="B82:C82"/>
    <mergeCell ref="A83:I83"/>
    <mergeCell ref="B84:C84"/>
    <mergeCell ref="B85:C85"/>
    <mergeCell ref="B86:C86"/>
    <mergeCell ref="B87:C87"/>
    <mergeCell ref="B88:C88"/>
    <mergeCell ref="A89:I89"/>
    <mergeCell ref="A90:I90"/>
    <mergeCell ref="B93:C93"/>
    <mergeCell ref="A94:I94"/>
    <mergeCell ref="B95:C95"/>
    <mergeCell ref="A96:I96"/>
    <mergeCell ref="B97:D97"/>
    <mergeCell ref="E97:I97"/>
  </mergeCells>
  <printOptions horizontalCentered="1"/>
  <pageMargins left="0.39" right="0.39" top="0.59" bottom="0.59" header="0.39" footer="0.39"/>
  <pageSetup paperSize="9" fitToHeight="10000" orientation="portrait" horizontalDpi="300" verticalDpi="300"/>
  <headerFooter>
    <oddHeader>&amp;Л&amp;9ПРОГРАММНЫЙ КОМПЛЕКС АВС-UZ (РЕДАКЦИЯ 2026.4)&amp;Ц&amp;С&amp;П202611420</oddHeader>
    <oddFooter>&amp;ЦСтраниц - &amp;К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64F2-572D-45E2-99F0-CB4CFD534143}">
  <sheetPr>
    <pageSetUpPr fitToPage="1"/>
  </sheetPr>
  <dimension ref="A1:G77"/>
  <sheetViews>
    <sheetView showGridLines="0" tabSelected="1" topLeftCell="A7" workbookViewId="0">
      <selection activeCell="C16" sqref="C16"/>
    </sheetView>
  </sheetViews>
  <sheetFormatPr defaultRowHeight="12.75" outlineLevelRow="1" x14ac:dyDescent="0.2"/>
  <cols>
    <col min="1" max="1" width="5.42578125" style="14" customWidth="1"/>
    <col min="2" max="2" width="13.5703125" style="14" customWidth="1"/>
    <col min="3" max="3" width="82.85546875" style="14" customWidth="1"/>
    <col min="4" max="6" width="10.140625" style="14" customWidth="1"/>
    <col min="7" max="16384" width="9.140625" style="14"/>
  </cols>
  <sheetData>
    <row r="1" spans="1:7" s="1" customFormat="1" x14ac:dyDescent="0.25">
      <c r="F1" s="2" t="s">
        <v>0</v>
      </c>
    </row>
    <row r="2" spans="1:7" s="1" customFormat="1" x14ac:dyDescent="0.25">
      <c r="B2" s="131" t="s">
        <v>1</v>
      </c>
      <c r="C2" s="131"/>
      <c r="D2" s="131"/>
      <c r="E2" s="131"/>
      <c r="F2" s="131"/>
    </row>
    <row r="3" spans="1:7" s="1" customFormat="1" x14ac:dyDescent="0.25">
      <c r="A3" s="3"/>
      <c r="B3" s="132" t="s">
        <v>2</v>
      </c>
      <c r="C3" s="132"/>
      <c r="D3" s="132"/>
      <c r="E3" s="132"/>
      <c r="F3" s="132"/>
    </row>
    <row r="4" spans="1:7" s="1" customFormat="1" x14ac:dyDescent="0.25">
      <c r="C4" s="4"/>
      <c r="D4" s="4"/>
      <c r="E4" s="4"/>
      <c r="F4" s="4"/>
    </row>
    <row r="5" spans="1:7" s="1" customFormat="1" ht="15.75" x14ac:dyDescent="0.25">
      <c r="A5" s="5"/>
      <c r="B5" s="5"/>
      <c r="C5" s="6" t="s">
        <v>3</v>
      </c>
      <c r="D5" s="133" t="s">
        <v>990</v>
      </c>
      <c r="E5" s="133"/>
      <c r="F5" s="133"/>
    </row>
    <row r="6" spans="1:7" s="1" customFormat="1" x14ac:dyDescent="0.25">
      <c r="A6" s="3"/>
      <c r="B6" s="134" t="s">
        <v>5</v>
      </c>
      <c r="C6" s="134"/>
      <c r="D6" s="134"/>
      <c r="E6" s="134"/>
      <c r="F6" s="134"/>
    </row>
    <row r="7" spans="1:7" s="1" customFormat="1" x14ac:dyDescent="0.25">
      <c r="D7" s="4"/>
      <c r="F7" s="7" t="s">
        <v>6</v>
      </c>
    </row>
    <row r="8" spans="1:7" s="1" customFormat="1" x14ac:dyDescent="0.25">
      <c r="A8" s="7" t="s">
        <v>7</v>
      </c>
      <c r="B8" s="131" t="s">
        <v>991</v>
      </c>
      <c r="C8" s="131"/>
      <c r="D8" s="131"/>
      <c r="E8" s="131"/>
      <c r="F8" s="131"/>
    </row>
    <row r="9" spans="1:7" s="1" customFormat="1" x14ac:dyDescent="0.25">
      <c r="A9" s="3"/>
      <c r="B9" s="132" t="s">
        <v>9</v>
      </c>
      <c r="C9" s="132"/>
      <c r="D9" s="132"/>
      <c r="E9" s="132"/>
      <c r="F9" s="132"/>
    </row>
    <row r="10" spans="1:7" s="1" customFormat="1" x14ac:dyDescent="0.25"/>
    <row r="11" spans="1:7" s="1" customFormat="1" x14ac:dyDescent="0.25">
      <c r="A11" s="8" t="s">
        <v>10</v>
      </c>
      <c r="B11" s="8"/>
      <c r="C11" s="135"/>
      <c r="D11" s="135"/>
      <c r="E11" s="135"/>
      <c r="F11" s="135"/>
    </row>
    <row r="12" spans="1:7" s="9" customFormat="1" ht="12.75" customHeight="1" x14ac:dyDescent="0.25">
      <c r="A12" s="136" t="s">
        <v>11</v>
      </c>
      <c r="B12" s="136" t="s">
        <v>12</v>
      </c>
      <c r="C12" s="136" t="s">
        <v>13</v>
      </c>
      <c r="D12" s="136" t="s">
        <v>14</v>
      </c>
      <c r="E12" s="138" t="s">
        <v>15</v>
      </c>
      <c r="F12" s="139"/>
    </row>
    <row r="13" spans="1:7" s="9" customFormat="1" ht="34.5" customHeight="1" x14ac:dyDescent="0.25">
      <c r="A13" s="137"/>
      <c r="B13" s="137"/>
      <c r="C13" s="137"/>
      <c r="D13" s="137"/>
      <c r="E13" s="10" t="s">
        <v>16</v>
      </c>
      <c r="F13" s="10" t="s">
        <v>17</v>
      </c>
    </row>
    <row r="14" spans="1:7" s="13" customFormat="1" x14ac:dyDescent="0.2">
      <c r="A14" s="11">
        <v>1</v>
      </c>
      <c r="B14" s="12">
        <v>2</v>
      </c>
      <c r="C14" s="12">
        <v>3</v>
      </c>
      <c r="D14" s="12">
        <v>4</v>
      </c>
      <c r="E14" s="12">
        <v>5</v>
      </c>
      <c r="F14" s="12">
        <v>6</v>
      </c>
    </row>
    <row r="15" spans="1:7" s="1" customFormat="1" x14ac:dyDescent="0.25">
      <c r="A15" s="18" t="s">
        <v>19</v>
      </c>
      <c r="B15" s="19" t="s">
        <v>927</v>
      </c>
      <c r="C15" s="19" t="s">
        <v>928</v>
      </c>
      <c r="D15" s="20" t="s">
        <v>22</v>
      </c>
      <c r="E15" s="144">
        <v>2.5000000000000001E-2</v>
      </c>
      <c r="F15" s="145"/>
      <c r="G15" s="21"/>
    </row>
    <row r="16" spans="1:7" s="26" customFormat="1" outlineLevel="1" x14ac:dyDescent="0.25">
      <c r="A16" s="22" t="s">
        <v>23</v>
      </c>
      <c r="B16" s="23" t="s">
        <v>19</v>
      </c>
      <c r="C16" s="24" t="s">
        <v>37</v>
      </c>
      <c r="D16" s="23" t="s">
        <v>26</v>
      </c>
      <c r="E16" s="45">
        <v>1588</v>
      </c>
      <c r="F16" s="25">
        <v>39.700000000000003</v>
      </c>
    </row>
    <row r="17" spans="1:6" s="36" customFormat="1" outlineLevel="1" x14ac:dyDescent="0.25">
      <c r="A17" s="32" t="s">
        <v>27</v>
      </c>
      <c r="B17" s="33" t="s">
        <v>24</v>
      </c>
      <c r="C17" s="34" t="s">
        <v>25</v>
      </c>
      <c r="D17" s="33" t="s">
        <v>26</v>
      </c>
      <c r="E17" s="35">
        <v>110.15</v>
      </c>
      <c r="F17" s="35">
        <v>2.7538</v>
      </c>
    </row>
    <row r="18" spans="1:6" s="31" customFormat="1" ht="24" outlineLevel="1" x14ac:dyDescent="0.25">
      <c r="A18" s="27" t="s">
        <v>929</v>
      </c>
      <c r="B18" s="28" t="s">
        <v>93</v>
      </c>
      <c r="C18" s="29" t="s">
        <v>94</v>
      </c>
      <c r="D18" s="28" t="s">
        <v>30</v>
      </c>
      <c r="E18" s="30">
        <v>49.9</v>
      </c>
      <c r="F18" s="30">
        <v>1.2475000000000001</v>
      </c>
    </row>
    <row r="19" spans="1:6" s="31" customFormat="1" ht="24" outlineLevel="1" x14ac:dyDescent="0.25">
      <c r="A19" s="41" t="s">
        <v>930</v>
      </c>
      <c r="B19" s="42" t="s">
        <v>143</v>
      </c>
      <c r="C19" s="43" t="s">
        <v>144</v>
      </c>
      <c r="D19" s="42" t="s">
        <v>30</v>
      </c>
      <c r="E19" s="44">
        <v>9.92</v>
      </c>
      <c r="F19" s="44">
        <v>0.248</v>
      </c>
    </row>
    <row r="20" spans="1:6" s="31" customFormat="1" ht="24" outlineLevel="1" x14ac:dyDescent="0.25">
      <c r="A20" s="41" t="s">
        <v>931</v>
      </c>
      <c r="B20" s="42" t="s">
        <v>146</v>
      </c>
      <c r="C20" s="43" t="s">
        <v>147</v>
      </c>
      <c r="D20" s="42" t="s">
        <v>30</v>
      </c>
      <c r="E20" s="44">
        <v>20.57</v>
      </c>
      <c r="F20" s="44">
        <v>0.51424999999999998</v>
      </c>
    </row>
    <row r="21" spans="1:6" s="31" customFormat="1" ht="24" outlineLevel="1" x14ac:dyDescent="0.25">
      <c r="A21" s="41" t="s">
        <v>932</v>
      </c>
      <c r="B21" s="42" t="s">
        <v>386</v>
      </c>
      <c r="C21" s="43" t="s">
        <v>387</v>
      </c>
      <c r="D21" s="42" t="s">
        <v>30</v>
      </c>
      <c r="E21" s="44">
        <v>146.94</v>
      </c>
      <c r="F21" s="44">
        <v>3.6735000000000002</v>
      </c>
    </row>
    <row r="22" spans="1:6" s="31" customFormat="1" outlineLevel="1" x14ac:dyDescent="0.25">
      <c r="A22" s="41" t="s">
        <v>933</v>
      </c>
      <c r="B22" s="42" t="s">
        <v>411</v>
      </c>
      <c r="C22" s="43" t="s">
        <v>412</v>
      </c>
      <c r="D22" s="42" t="s">
        <v>30</v>
      </c>
      <c r="E22" s="44">
        <v>52.61</v>
      </c>
      <c r="F22" s="44">
        <v>1.3152999999999999</v>
      </c>
    </row>
    <row r="23" spans="1:6" s="31" customFormat="1" outlineLevel="1" x14ac:dyDescent="0.25">
      <c r="A23" s="41" t="s">
        <v>934</v>
      </c>
      <c r="B23" s="42" t="s">
        <v>152</v>
      </c>
      <c r="C23" s="43" t="s">
        <v>153</v>
      </c>
      <c r="D23" s="42" t="s">
        <v>30</v>
      </c>
      <c r="E23" s="44">
        <v>29.76</v>
      </c>
      <c r="F23" s="44">
        <v>0.74399999999999999</v>
      </c>
    </row>
    <row r="24" spans="1:6" s="36" customFormat="1" outlineLevel="1" x14ac:dyDescent="0.25">
      <c r="A24" s="37" t="s">
        <v>935</v>
      </c>
      <c r="B24" s="38" t="s">
        <v>155</v>
      </c>
      <c r="C24" s="39" t="s">
        <v>156</v>
      </c>
      <c r="D24" s="38" t="s">
        <v>76</v>
      </c>
      <c r="E24" s="40">
        <v>101.5</v>
      </c>
      <c r="F24" s="40">
        <v>2.5375000000000001</v>
      </c>
    </row>
    <row r="25" spans="1:6" s="36" customFormat="1" outlineLevel="1" x14ac:dyDescent="0.25">
      <c r="A25" s="47" t="s">
        <v>938</v>
      </c>
      <c r="B25" s="48" t="s">
        <v>394</v>
      </c>
      <c r="C25" s="49" t="s">
        <v>395</v>
      </c>
      <c r="D25" s="48" t="s">
        <v>76</v>
      </c>
      <c r="E25" s="51">
        <v>5.7</v>
      </c>
      <c r="F25" s="51">
        <v>0.14249999999999999</v>
      </c>
    </row>
    <row r="26" spans="1:6" s="36" customFormat="1" outlineLevel="1" x14ac:dyDescent="0.25">
      <c r="A26" s="47" t="s">
        <v>939</v>
      </c>
      <c r="B26" s="48" t="s">
        <v>235</v>
      </c>
      <c r="C26" s="49" t="s">
        <v>159</v>
      </c>
      <c r="D26" s="48" t="s">
        <v>76</v>
      </c>
      <c r="E26" s="50">
        <v>175</v>
      </c>
      <c r="F26" s="51">
        <v>4.375</v>
      </c>
    </row>
    <row r="27" spans="1:6" s="36" customFormat="1" outlineLevel="1" x14ac:dyDescent="0.25">
      <c r="A27" s="47" t="s">
        <v>940</v>
      </c>
      <c r="B27" s="48" t="s">
        <v>161</v>
      </c>
      <c r="C27" s="49" t="s">
        <v>162</v>
      </c>
      <c r="D27" s="48" t="s">
        <v>61</v>
      </c>
      <c r="E27" s="51">
        <v>0.52</v>
      </c>
      <c r="F27" s="51">
        <v>1.2999999999999999E-2</v>
      </c>
    </row>
    <row r="28" spans="1:6" s="36" customFormat="1" outlineLevel="1" x14ac:dyDescent="0.25">
      <c r="A28" s="47" t="s">
        <v>941</v>
      </c>
      <c r="B28" s="48" t="s">
        <v>399</v>
      </c>
      <c r="C28" s="49" t="s">
        <v>400</v>
      </c>
      <c r="D28" s="48" t="s">
        <v>61</v>
      </c>
      <c r="E28" s="51">
        <v>6.5000000000000002E-2</v>
      </c>
      <c r="F28" s="51">
        <v>1.6249999999999999E-3</v>
      </c>
    </row>
    <row r="29" spans="1:6" s="36" customFormat="1" ht="24" outlineLevel="1" x14ac:dyDescent="0.25">
      <c r="A29" s="47" t="s">
        <v>942</v>
      </c>
      <c r="B29" s="48" t="s">
        <v>427</v>
      </c>
      <c r="C29" s="49" t="s">
        <v>428</v>
      </c>
      <c r="D29" s="48" t="s">
        <v>76</v>
      </c>
      <c r="E29" s="51">
        <v>3.06</v>
      </c>
      <c r="F29" s="51">
        <v>7.6499999999999999E-2</v>
      </c>
    </row>
    <row r="30" spans="1:6" s="36" customFormat="1" ht="24" outlineLevel="1" x14ac:dyDescent="0.25">
      <c r="A30" s="47" t="s">
        <v>943</v>
      </c>
      <c r="B30" s="48" t="s">
        <v>203</v>
      </c>
      <c r="C30" s="49" t="s">
        <v>204</v>
      </c>
      <c r="D30" s="48" t="s">
        <v>76</v>
      </c>
      <c r="E30" s="51">
        <v>7.14</v>
      </c>
      <c r="F30" s="51">
        <v>0.17849999999999999</v>
      </c>
    </row>
    <row r="31" spans="1:6" s="36" customFormat="1" outlineLevel="1" x14ac:dyDescent="0.25">
      <c r="A31" s="47" t="s">
        <v>944</v>
      </c>
      <c r="B31" s="48" t="s">
        <v>375</v>
      </c>
      <c r="C31" s="49" t="s">
        <v>376</v>
      </c>
      <c r="D31" s="48" t="s">
        <v>377</v>
      </c>
      <c r="E31" s="51">
        <v>22.7</v>
      </c>
      <c r="F31" s="51">
        <v>0.5675</v>
      </c>
    </row>
    <row r="32" spans="1:6" s="36" customFormat="1" outlineLevel="1" x14ac:dyDescent="0.25">
      <c r="A32" s="47" t="s">
        <v>945</v>
      </c>
      <c r="B32" s="48" t="s">
        <v>208</v>
      </c>
      <c r="C32" s="49" t="s">
        <v>209</v>
      </c>
      <c r="D32" s="48" t="s">
        <v>210</v>
      </c>
      <c r="E32" s="51">
        <v>237.2</v>
      </c>
      <c r="F32" s="51">
        <v>5.93</v>
      </c>
    </row>
    <row r="33" spans="1:7" s="1" customFormat="1" x14ac:dyDescent="0.25">
      <c r="A33" s="18" t="s">
        <v>31</v>
      </c>
      <c r="B33" s="19" t="s">
        <v>992</v>
      </c>
      <c r="C33" s="19" t="s">
        <v>993</v>
      </c>
      <c r="D33" s="20" t="s">
        <v>61</v>
      </c>
      <c r="E33" s="144">
        <v>0.95299999999999996</v>
      </c>
      <c r="F33" s="145"/>
      <c r="G33" s="21"/>
    </row>
    <row r="34" spans="1:7" s="26" customFormat="1" outlineLevel="1" x14ac:dyDescent="0.25">
      <c r="A34" s="22" t="s">
        <v>32</v>
      </c>
      <c r="B34" s="23" t="s">
        <v>19</v>
      </c>
      <c r="C34" s="24" t="s">
        <v>37</v>
      </c>
      <c r="D34" s="23" t="s">
        <v>26</v>
      </c>
      <c r="E34" s="25">
        <v>66.489999999999995</v>
      </c>
      <c r="F34" s="25">
        <v>63.365000000000002</v>
      </c>
    </row>
    <row r="35" spans="1:7" s="36" customFormat="1" outlineLevel="1" x14ac:dyDescent="0.25">
      <c r="A35" s="32" t="s">
        <v>33</v>
      </c>
      <c r="B35" s="33" t="s">
        <v>24</v>
      </c>
      <c r="C35" s="34" t="s">
        <v>25</v>
      </c>
      <c r="D35" s="33" t="s">
        <v>26</v>
      </c>
      <c r="E35" s="35">
        <v>0.01</v>
      </c>
      <c r="F35" s="35">
        <v>9.5300000000000003E-3</v>
      </c>
    </row>
    <row r="36" spans="1:7" s="31" customFormat="1" outlineLevel="1" x14ac:dyDescent="0.25">
      <c r="A36" s="27" t="s">
        <v>946</v>
      </c>
      <c r="B36" s="28" t="s">
        <v>994</v>
      </c>
      <c r="C36" s="29" t="s">
        <v>995</v>
      </c>
      <c r="D36" s="28" t="s">
        <v>30</v>
      </c>
      <c r="E36" s="30">
        <v>0.33</v>
      </c>
      <c r="F36" s="30">
        <v>0.31448999999999999</v>
      </c>
    </row>
    <row r="37" spans="1:7" s="31" customFormat="1" outlineLevel="1" x14ac:dyDescent="0.25">
      <c r="A37" s="41" t="s">
        <v>947</v>
      </c>
      <c r="B37" s="42" t="s">
        <v>585</v>
      </c>
      <c r="C37" s="43" t="s">
        <v>586</v>
      </c>
      <c r="D37" s="42" t="s">
        <v>30</v>
      </c>
      <c r="E37" s="44">
        <v>3.98</v>
      </c>
      <c r="F37" s="44">
        <v>3.7928999999999999</v>
      </c>
    </row>
    <row r="38" spans="1:7" s="31" customFormat="1" outlineLevel="1" x14ac:dyDescent="0.25">
      <c r="A38" s="41" t="s">
        <v>948</v>
      </c>
      <c r="B38" s="42" t="s">
        <v>216</v>
      </c>
      <c r="C38" s="43" t="s">
        <v>217</v>
      </c>
      <c r="D38" s="42" t="s">
        <v>30</v>
      </c>
      <c r="E38" s="44">
        <v>0.19</v>
      </c>
      <c r="F38" s="44">
        <v>0.18107000000000001</v>
      </c>
    </row>
    <row r="39" spans="1:7" s="31" customFormat="1" outlineLevel="1" x14ac:dyDescent="0.25">
      <c r="A39" s="41" t="s">
        <v>949</v>
      </c>
      <c r="B39" s="42" t="s">
        <v>152</v>
      </c>
      <c r="C39" s="43" t="s">
        <v>153</v>
      </c>
      <c r="D39" s="42" t="s">
        <v>30</v>
      </c>
      <c r="E39" s="44">
        <v>0.01</v>
      </c>
      <c r="F39" s="44">
        <v>9.5300000000000003E-3</v>
      </c>
    </row>
    <row r="40" spans="1:7" s="36" customFormat="1" outlineLevel="1" x14ac:dyDescent="0.25">
      <c r="A40" s="37" t="s">
        <v>950</v>
      </c>
      <c r="B40" s="38" t="s">
        <v>996</v>
      </c>
      <c r="C40" s="39" t="s">
        <v>997</v>
      </c>
      <c r="D40" s="38" t="s">
        <v>61</v>
      </c>
      <c r="E40" s="40">
        <v>2.4E-2</v>
      </c>
      <c r="F40" s="40">
        <v>2.2872E-2</v>
      </c>
    </row>
    <row r="41" spans="1:7" s="36" customFormat="1" outlineLevel="1" x14ac:dyDescent="0.25">
      <c r="A41" s="47" t="s">
        <v>951</v>
      </c>
      <c r="B41" s="48" t="s">
        <v>998</v>
      </c>
      <c r="C41" s="49" t="s">
        <v>999</v>
      </c>
      <c r="D41" s="48" t="s">
        <v>61</v>
      </c>
      <c r="E41" s="51">
        <v>8.0000000000000002E-3</v>
      </c>
      <c r="F41" s="51">
        <v>7.6239999999999997E-3</v>
      </c>
    </row>
    <row r="42" spans="1:7" s="36" customFormat="1" outlineLevel="1" x14ac:dyDescent="0.25">
      <c r="A42" s="47" t="s">
        <v>988</v>
      </c>
      <c r="B42" s="48" t="s">
        <v>220</v>
      </c>
      <c r="C42" s="49" t="s">
        <v>221</v>
      </c>
      <c r="D42" s="48" t="s">
        <v>61</v>
      </c>
      <c r="E42" s="51">
        <v>6.9999999999999999E-4</v>
      </c>
      <c r="F42" s="51">
        <v>6.6710000000000001E-4</v>
      </c>
    </row>
    <row r="43" spans="1:7" s="36" customFormat="1" outlineLevel="1" x14ac:dyDescent="0.25">
      <c r="A43" s="47" t="s">
        <v>989</v>
      </c>
      <c r="B43" s="48" t="s">
        <v>986</v>
      </c>
      <c r="C43" s="49" t="s">
        <v>987</v>
      </c>
      <c r="D43" s="48" t="s">
        <v>547</v>
      </c>
      <c r="E43" s="51">
        <v>6.5</v>
      </c>
      <c r="F43" s="51">
        <v>6.1944999999999997</v>
      </c>
    </row>
    <row r="44" spans="1:7" s="36" customFormat="1" outlineLevel="1" x14ac:dyDescent="0.25">
      <c r="A44" s="47" t="s">
        <v>1000</v>
      </c>
      <c r="B44" s="48" t="s">
        <v>1001</v>
      </c>
      <c r="C44" s="49" t="s">
        <v>1002</v>
      </c>
      <c r="D44" s="48" t="s">
        <v>61</v>
      </c>
      <c r="E44" s="50">
        <v>1</v>
      </c>
      <c r="F44" s="51">
        <v>0.95299999999999996</v>
      </c>
    </row>
    <row r="45" spans="1:7" s="1" customFormat="1" ht="13.5" thickBot="1" x14ac:dyDescent="0.3">
      <c r="A45" s="150"/>
      <c r="B45" s="151"/>
      <c r="C45" s="151"/>
      <c r="D45" s="151"/>
      <c r="E45" s="151"/>
      <c r="F45" s="152"/>
    </row>
    <row r="46" spans="1:7" s="1" customFormat="1" ht="13.5" thickTop="1" x14ac:dyDescent="0.25">
      <c r="A46" s="153" t="s">
        <v>290</v>
      </c>
      <c r="B46" s="154"/>
      <c r="C46" s="154"/>
      <c r="D46" s="52"/>
      <c r="E46" s="53"/>
      <c r="F46" s="54"/>
      <c r="G46" s="21"/>
    </row>
    <row r="47" spans="1:7" s="1" customFormat="1" x14ac:dyDescent="0.25">
      <c r="A47" s="155"/>
      <c r="B47" s="156"/>
      <c r="C47" s="156"/>
      <c r="D47" s="156"/>
      <c r="E47" s="156"/>
      <c r="F47" s="157"/>
    </row>
    <row r="48" spans="1:7" s="1" customFormat="1" x14ac:dyDescent="0.25">
      <c r="A48" s="55"/>
      <c r="B48" s="56"/>
      <c r="C48" s="57" t="s">
        <v>291</v>
      </c>
      <c r="D48" s="58"/>
      <c r="E48" s="59"/>
      <c r="F48" s="60"/>
    </row>
    <row r="49" spans="1:6" s="1" customFormat="1" x14ac:dyDescent="0.25">
      <c r="A49" s="61" t="s">
        <v>19</v>
      </c>
      <c r="B49" s="62" t="s">
        <v>19</v>
      </c>
      <c r="C49" s="62" t="s">
        <v>37</v>
      </c>
      <c r="D49" s="63" t="s">
        <v>26</v>
      </c>
      <c r="E49" s="64"/>
      <c r="F49" s="65">
        <v>103.065</v>
      </c>
    </row>
    <row r="50" spans="1:6" s="1" customFormat="1" x14ac:dyDescent="0.25">
      <c r="A50" s="61" t="s">
        <v>31</v>
      </c>
      <c r="B50" s="62" t="s">
        <v>24</v>
      </c>
      <c r="C50" s="62" t="s">
        <v>25</v>
      </c>
      <c r="D50" s="63" t="s">
        <v>26</v>
      </c>
      <c r="E50" s="64"/>
      <c r="F50" s="65">
        <v>2.7633000000000001</v>
      </c>
    </row>
    <row r="51" spans="1:6" s="1" customFormat="1" x14ac:dyDescent="0.25">
      <c r="A51" s="55"/>
      <c r="B51" s="56"/>
      <c r="C51" s="57" t="s">
        <v>292</v>
      </c>
      <c r="D51" s="58"/>
      <c r="E51" s="59"/>
      <c r="F51" s="60"/>
    </row>
    <row r="52" spans="1:6" s="1" customFormat="1" ht="24" x14ac:dyDescent="0.25">
      <c r="A52" s="61" t="s">
        <v>24</v>
      </c>
      <c r="B52" s="62" t="s">
        <v>93</v>
      </c>
      <c r="C52" s="62" t="s">
        <v>94</v>
      </c>
      <c r="D52" s="63" t="s">
        <v>30</v>
      </c>
      <c r="E52" s="64"/>
      <c r="F52" s="65">
        <v>1.2475000000000001</v>
      </c>
    </row>
    <row r="53" spans="1:6" s="1" customFormat="1" x14ac:dyDescent="0.25">
      <c r="A53" s="61" t="s">
        <v>42</v>
      </c>
      <c r="B53" s="62" t="s">
        <v>143</v>
      </c>
      <c r="C53" s="62" t="s">
        <v>144</v>
      </c>
      <c r="D53" s="63" t="s">
        <v>30</v>
      </c>
      <c r="E53" s="64"/>
      <c r="F53" s="65">
        <v>0.248</v>
      </c>
    </row>
    <row r="54" spans="1:6" s="1" customFormat="1" x14ac:dyDescent="0.25">
      <c r="A54" s="61" t="s">
        <v>50</v>
      </c>
      <c r="B54" s="62" t="s">
        <v>146</v>
      </c>
      <c r="C54" s="62" t="s">
        <v>147</v>
      </c>
      <c r="D54" s="63" t="s">
        <v>30</v>
      </c>
      <c r="E54" s="64"/>
      <c r="F54" s="65">
        <v>0.51424999999999998</v>
      </c>
    </row>
    <row r="55" spans="1:6" s="1" customFormat="1" x14ac:dyDescent="0.25">
      <c r="A55" s="61" t="s">
        <v>58</v>
      </c>
      <c r="B55" s="62" t="s">
        <v>994</v>
      </c>
      <c r="C55" s="62" t="s">
        <v>995</v>
      </c>
      <c r="D55" s="63" t="s">
        <v>30</v>
      </c>
      <c r="E55" s="64"/>
      <c r="F55" s="65">
        <v>0.31448999999999999</v>
      </c>
    </row>
    <row r="56" spans="1:6" s="1" customFormat="1" x14ac:dyDescent="0.25">
      <c r="A56" s="61" t="s">
        <v>66</v>
      </c>
      <c r="B56" s="62" t="s">
        <v>585</v>
      </c>
      <c r="C56" s="62" t="s">
        <v>586</v>
      </c>
      <c r="D56" s="63" t="s">
        <v>30</v>
      </c>
      <c r="E56" s="64"/>
      <c r="F56" s="65">
        <v>3.7928999999999999</v>
      </c>
    </row>
    <row r="57" spans="1:6" s="1" customFormat="1" ht="24" x14ac:dyDescent="0.25">
      <c r="A57" s="61" t="s">
        <v>77</v>
      </c>
      <c r="B57" s="62" t="s">
        <v>386</v>
      </c>
      <c r="C57" s="62" t="s">
        <v>387</v>
      </c>
      <c r="D57" s="63" t="s">
        <v>30</v>
      </c>
      <c r="E57" s="64"/>
      <c r="F57" s="65">
        <v>3.6735000000000002</v>
      </c>
    </row>
    <row r="58" spans="1:6" s="1" customFormat="1" x14ac:dyDescent="0.25">
      <c r="A58" s="61" t="s">
        <v>84</v>
      </c>
      <c r="B58" s="62" t="s">
        <v>411</v>
      </c>
      <c r="C58" s="62" t="s">
        <v>412</v>
      </c>
      <c r="D58" s="63" t="s">
        <v>30</v>
      </c>
      <c r="E58" s="64"/>
      <c r="F58" s="65">
        <v>1.3152999999999999</v>
      </c>
    </row>
    <row r="59" spans="1:6" s="1" customFormat="1" x14ac:dyDescent="0.25">
      <c r="A59" s="61" t="s">
        <v>87</v>
      </c>
      <c r="B59" s="62" t="s">
        <v>216</v>
      </c>
      <c r="C59" s="62" t="s">
        <v>217</v>
      </c>
      <c r="D59" s="63" t="s">
        <v>30</v>
      </c>
      <c r="E59" s="64"/>
      <c r="F59" s="65">
        <v>0.18107000000000001</v>
      </c>
    </row>
    <row r="60" spans="1:6" s="1" customFormat="1" x14ac:dyDescent="0.25">
      <c r="A60" s="61" t="s">
        <v>98</v>
      </c>
      <c r="B60" s="62" t="s">
        <v>152</v>
      </c>
      <c r="C60" s="62" t="s">
        <v>153</v>
      </c>
      <c r="D60" s="63" t="s">
        <v>30</v>
      </c>
      <c r="E60" s="64"/>
      <c r="F60" s="65">
        <v>0.75353000000000003</v>
      </c>
    </row>
    <row r="61" spans="1:6" s="1" customFormat="1" x14ac:dyDescent="0.25">
      <c r="A61" s="55"/>
      <c r="B61" s="56"/>
      <c r="C61" s="57" t="s">
        <v>293</v>
      </c>
      <c r="D61" s="58"/>
      <c r="E61" s="59"/>
      <c r="F61" s="60"/>
    </row>
    <row r="62" spans="1:6" s="1" customFormat="1" x14ac:dyDescent="0.25">
      <c r="A62" s="61" t="s">
        <v>106</v>
      </c>
      <c r="B62" s="62" t="s">
        <v>155</v>
      </c>
      <c r="C62" s="62" t="s">
        <v>156</v>
      </c>
      <c r="D62" s="63" t="s">
        <v>76</v>
      </c>
      <c r="E62" s="64"/>
      <c r="F62" s="65">
        <v>2.5375000000000001</v>
      </c>
    </row>
    <row r="63" spans="1:6" s="1" customFormat="1" x14ac:dyDescent="0.25">
      <c r="A63" s="61" t="s">
        <v>114</v>
      </c>
      <c r="B63" s="62" t="s">
        <v>394</v>
      </c>
      <c r="C63" s="62" t="s">
        <v>395</v>
      </c>
      <c r="D63" s="63" t="s">
        <v>76</v>
      </c>
      <c r="E63" s="64"/>
      <c r="F63" s="65">
        <v>0.14249999999999999</v>
      </c>
    </row>
    <row r="64" spans="1:6" s="1" customFormat="1" x14ac:dyDescent="0.25">
      <c r="A64" s="61" t="s">
        <v>119</v>
      </c>
      <c r="B64" s="62" t="s">
        <v>235</v>
      </c>
      <c r="C64" s="62" t="s">
        <v>159</v>
      </c>
      <c r="D64" s="63" t="s">
        <v>76</v>
      </c>
      <c r="E64" s="64"/>
      <c r="F64" s="65">
        <v>4.375</v>
      </c>
    </row>
    <row r="65" spans="1:6" s="1" customFormat="1" x14ac:dyDescent="0.25">
      <c r="A65" s="61" t="s">
        <v>123</v>
      </c>
      <c r="B65" s="62" t="s">
        <v>161</v>
      </c>
      <c r="C65" s="62" t="s">
        <v>162</v>
      </c>
      <c r="D65" s="63" t="s">
        <v>61</v>
      </c>
      <c r="E65" s="64"/>
      <c r="F65" s="65">
        <v>1.2999999999999999E-2</v>
      </c>
    </row>
    <row r="66" spans="1:6" s="1" customFormat="1" x14ac:dyDescent="0.25">
      <c r="A66" s="61" t="s">
        <v>128</v>
      </c>
      <c r="B66" s="62" t="s">
        <v>996</v>
      </c>
      <c r="C66" s="62" t="s">
        <v>997</v>
      </c>
      <c r="D66" s="63" t="s">
        <v>61</v>
      </c>
      <c r="E66" s="64"/>
      <c r="F66" s="65">
        <v>2.2872E-2</v>
      </c>
    </row>
    <row r="67" spans="1:6" s="1" customFormat="1" x14ac:dyDescent="0.25">
      <c r="A67" s="61" t="s">
        <v>134</v>
      </c>
      <c r="B67" s="62" t="s">
        <v>998</v>
      </c>
      <c r="C67" s="62" t="s">
        <v>999</v>
      </c>
      <c r="D67" s="63" t="s">
        <v>61</v>
      </c>
      <c r="E67" s="64"/>
      <c r="F67" s="65">
        <v>7.6239999999999997E-3</v>
      </c>
    </row>
    <row r="68" spans="1:6" s="1" customFormat="1" x14ac:dyDescent="0.25">
      <c r="A68" s="61" t="s">
        <v>170</v>
      </c>
      <c r="B68" s="62" t="s">
        <v>399</v>
      </c>
      <c r="C68" s="62" t="s">
        <v>400</v>
      </c>
      <c r="D68" s="63" t="s">
        <v>61</v>
      </c>
      <c r="E68" s="64"/>
      <c r="F68" s="65">
        <v>1.6249999999999999E-3</v>
      </c>
    </row>
    <row r="69" spans="1:6" s="1" customFormat="1" x14ac:dyDescent="0.25">
      <c r="A69" s="61" t="s">
        <v>177</v>
      </c>
      <c r="B69" s="62" t="s">
        <v>220</v>
      </c>
      <c r="C69" s="62" t="s">
        <v>221</v>
      </c>
      <c r="D69" s="63" t="s">
        <v>61</v>
      </c>
      <c r="E69" s="64"/>
      <c r="F69" s="65">
        <v>6.6710000000000001E-4</v>
      </c>
    </row>
    <row r="70" spans="1:6" s="1" customFormat="1" ht="24" x14ac:dyDescent="0.25">
      <c r="A70" s="61" t="s">
        <v>180</v>
      </c>
      <c r="B70" s="62" t="s">
        <v>427</v>
      </c>
      <c r="C70" s="62" t="s">
        <v>428</v>
      </c>
      <c r="D70" s="63" t="s">
        <v>76</v>
      </c>
      <c r="E70" s="64"/>
      <c r="F70" s="65">
        <v>7.6499999999999999E-2</v>
      </c>
    </row>
    <row r="71" spans="1:6" s="1" customFormat="1" ht="24" x14ac:dyDescent="0.25">
      <c r="A71" s="61" t="s">
        <v>183</v>
      </c>
      <c r="B71" s="62" t="s">
        <v>203</v>
      </c>
      <c r="C71" s="62" t="s">
        <v>204</v>
      </c>
      <c r="D71" s="63" t="s">
        <v>76</v>
      </c>
      <c r="E71" s="64"/>
      <c r="F71" s="65">
        <v>0.17849999999999999</v>
      </c>
    </row>
    <row r="72" spans="1:6" s="1" customFormat="1" x14ac:dyDescent="0.25">
      <c r="A72" s="61" t="s">
        <v>211</v>
      </c>
      <c r="B72" s="62" t="s">
        <v>375</v>
      </c>
      <c r="C72" s="62" t="s">
        <v>376</v>
      </c>
      <c r="D72" s="63" t="s">
        <v>377</v>
      </c>
      <c r="E72" s="64"/>
      <c r="F72" s="65">
        <v>0.5675</v>
      </c>
    </row>
    <row r="73" spans="1:6" s="1" customFormat="1" x14ac:dyDescent="0.25">
      <c r="A73" s="61" t="s">
        <v>222</v>
      </c>
      <c r="B73" s="62" t="s">
        <v>986</v>
      </c>
      <c r="C73" s="62" t="s">
        <v>987</v>
      </c>
      <c r="D73" s="63" t="s">
        <v>547</v>
      </c>
      <c r="E73" s="64"/>
      <c r="F73" s="65">
        <v>6.1944999999999997</v>
      </c>
    </row>
    <row r="74" spans="1:6" s="1" customFormat="1" x14ac:dyDescent="0.25">
      <c r="A74" s="61" t="s">
        <v>223</v>
      </c>
      <c r="B74" s="62" t="s">
        <v>1001</v>
      </c>
      <c r="C74" s="62" t="s">
        <v>1002</v>
      </c>
      <c r="D74" s="63" t="s">
        <v>61</v>
      </c>
      <c r="E74" s="64"/>
      <c r="F74" s="65">
        <v>0.95299999999999996</v>
      </c>
    </row>
    <row r="75" spans="1:6" s="1" customFormat="1" x14ac:dyDescent="0.25">
      <c r="A75" s="61" t="s">
        <v>226</v>
      </c>
      <c r="B75" s="62" t="s">
        <v>208</v>
      </c>
      <c r="C75" s="62" t="s">
        <v>209</v>
      </c>
      <c r="D75" s="63" t="s">
        <v>210</v>
      </c>
      <c r="E75" s="64"/>
      <c r="F75" s="65">
        <v>5.93</v>
      </c>
    </row>
    <row r="76" spans="1:6" s="1" customFormat="1" x14ac:dyDescent="0.25">
      <c r="A76" s="158"/>
      <c r="B76" s="158"/>
      <c r="C76" s="158"/>
      <c r="D76" s="158"/>
      <c r="E76" s="158"/>
      <c r="F76" s="158"/>
    </row>
    <row r="77" spans="1:6" s="1" customFormat="1" x14ac:dyDescent="0.25">
      <c r="A77" s="66"/>
      <c r="B77" s="159" t="s">
        <v>310</v>
      </c>
      <c r="C77" s="159"/>
      <c r="D77" s="159" t="s">
        <v>983</v>
      </c>
      <c r="E77" s="159"/>
      <c r="F77" s="159"/>
    </row>
  </sheetData>
  <mergeCells count="20">
    <mergeCell ref="B2:F2"/>
    <mergeCell ref="B3:F3"/>
    <mergeCell ref="D5:F5"/>
    <mergeCell ref="B6:F6"/>
    <mergeCell ref="B8:F8"/>
    <mergeCell ref="B9:F9"/>
    <mergeCell ref="C11:F11"/>
    <mergeCell ref="A12:A13"/>
    <mergeCell ref="B12:B13"/>
    <mergeCell ref="C12:C13"/>
    <mergeCell ref="D12:D13"/>
    <mergeCell ref="E12:F12"/>
    <mergeCell ref="A76:F76"/>
    <mergeCell ref="B77:C77"/>
    <mergeCell ref="D77:F77"/>
    <mergeCell ref="E15:F15"/>
    <mergeCell ref="E33:F33"/>
    <mergeCell ref="A45:F45"/>
    <mergeCell ref="A46:C46"/>
    <mergeCell ref="A47:F47"/>
  </mergeCells>
  <printOptions horizontalCentered="1"/>
  <pageMargins left="0.39" right="0.39" top="0.59" bottom="0.59" header="0.39" footer="0.39"/>
  <pageSetup paperSize="9" fitToHeight="10000" orientation="portrait" horizontalDpi="300" verticalDpi="300"/>
  <headerFooter>
    <oddHeader>&amp;Л&amp;9ПРОГРАММНЫЙ КОМПЛЕКС АВС-UZ (РЕДАКЦИЯ 2026.4)&amp;Ц&amp;С&amp;П202611450</oddHeader>
    <oddFooter>&amp;ЦСтраниц - &amp;К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202611400_БВ</vt:lpstr>
      <vt:lpstr>202611400_БР</vt:lpstr>
      <vt:lpstr>202611410_БВ</vt:lpstr>
      <vt:lpstr>202611410_БР</vt:lpstr>
      <vt:lpstr>202611420_БВ</vt:lpstr>
      <vt:lpstr>202611420_БР</vt:lpstr>
      <vt:lpstr>202611450_БВ</vt:lpstr>
      <vt:lpstr>'202611400_БВ'!Заголовки_для_печати</vt:lpstr>
      <vt:lpstr>'202611400_БР'!Заголовки_для_печати</vt:lpstr>
      <vt:lpstr>'202611410_БВ'!Заголовки_для_печати</vt:lpstr>
      <vt:lpstr>'202611410_БР'!Заголовки_для_печати</vt:lpstr>
      <vt:lpstr>'202611420_БВ'!Заголовки_для_печати</vt:lpstr>
      <vt:lpstr>'202611420_БР'!Заголовки_для_печати</vt:lpstr>
      <vt:lpstr>'202611450_БВ'!Заголовки_для_печати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</dc:creator>
  <cp:lastModifiedBy>Пользователь</cp:lastModifiedBy>
  <cp:lastPrinted>2026-06-12T11:48:17Z</cp:lastPrinted>
  <dcterms:created xsi:type="dcterms:W3CDTF">2026-05-26T09:15:08Z</dcterms:created>
  <dcterms:modified xsi:type="dcterms:W3CDTF">2026-10-23T12:41:05Z</dcterms:modified>
</cp:coreProperties>
</file>